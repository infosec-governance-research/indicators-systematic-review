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About" sheetId="1" state="visible" r:id="rId3"/>
    <sheet name="Flow_summary" sheetId="2" state="visible" r:id="rId4"/>
    <sheet name="Records"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<sst xmlns="http://schemas.openxmlformats.org/spreadsheetml/2006/main" count="3347" uniqueCount="987">
  <si>
    <t xml:space="preserve">PRISMA 2020 flow: all records identified (n = 359)</t>
  </si>
  <si>
    <t xml:space="preserve">Content</t>
  </si>
  <si>
    <t xml:space="preserve">Every record identified in the review and the stage at which it left the flow, with the reason. Included studies are described in included_studies_37.xlsx.</t>
  </si>
  <si>
    <t xml:space="preserve">How the studies were selected</t>
  </si>
  <si>
    <t xml:space="preserve">359 records identified; 246 excluded at preliminary screening (local collection) and 12 not retrieved; 101 records entering screening and eligibility (Web of Science 45, Google Scholar 34, local collection 22); 25 duplicates removed; 76 unique studies screened by title and abstract, 36 excluded; 40 studies assessed in full text, 3 excluded; 37 studies included. The methods are described in the manuscript.</t>
  </si>
  <si>
    <t xml:space="preserve">Retrieving a study</t>
  </si>
  <si>
    <t xml:space="preserve">Use the link in the DOI or URL column. When no link is given, search for the title in the source indicated. Full texts are not redistributed, as they are third-party works.</t>
  </si>
  <si>
    <t xml:space="preserve">Bibliographic data</t>
  </si>
  <si>
    <t xml:space="preserve">For records excluded before screening, only the data needed to locate each document are given.</t>
  </si>
  <si>
    <t xml:space="preserve">Licence</t>
  </si>
  <si>
    <t xml:space="preserve">All rights reserved during peer review; made available solely to support the review of the associated manuscript. To be released under CC BY 4.0 upon publication. The referenced works remain under the rights of their publishers.</t>
  </si>
  <si>
    <t xml:space="preserve">Columns</t>
  </si>
  <si>
    <t xml:space="preserve">Record no.: 1–101 are the records that entered screening; 102–113 are the records not retrieved; 114–359 are the local-collection documents excluded at the preliminary stage. Study ID: identifier of the unique study in the review records (A001–A076). Same work as: Study ID of the study through which the work was assessed, when it was identified more than once.</t>
  </si>
  <si>
    <t xml:space="preserve">PRISMA 2020 flow (counts calculated from the Records sheet)</t>
  </si>
  <si>
    <t xml:space="preserve">Stage</t>
  </si>
  <si>
    <t xml:space="preserve">n</t>
  </si>
  <si>
    <t xml:space="preserve">Records identified</t>
  </si>
  <si>
    <t xml:space="preserve">Excluded at preliminary screening (local collection)</t>
  </si>
  <si>
    <t xml:space="preserve">Not retrieved (full-text access unavailable)</t>
  </si>
  <si>
    <t xml:space="preserve">Records entering screening and eligibility</t>
  </si>
  <si>
    <t xml:space="preserve">   Web of Science</t>
  </si>
  <si>
    <t xml:space="preserve">   Google Scholar</t>
  </si>
  <si>
    <t xml:space="preserve">   Local collection</t>
  </si>
  <si>
    <t xml:space="preserve">Duplicates removed</t>
  </si>
  <si>
    <t xml:space="preserve">Unique studies screened by title and abstract</t>
  </si>
  <si>
    <t xml:space="preserve">Excluded at title/abstract screening</t>
  </si>
  <si>
    <t xml:space="preserve">Studies assessed in full text</t>
  </si>
  <si>
    <t xml:space="preserve">Excluded after full-text reading</t>
  </si>
  <si>
    <t xml:space="preserve">Studies included</t>
  </si>
  <si>
    <t xml:space="preserve">Record no.</t>
  </si>
  <si>
    <t xml:space="preserve">Stage reached</t>
  </si>
  <si>
    <t xml:space="preserve">Decision and reason</t>
  </si>
  <si>
    <t xml:space="preserve">Found in</t>
  </si>
  <si>
    <t xml:space="preserve">Study ID</t>
  </si>
  <si>
    <t xml:space="preserve">Same work as</t>
  </si>
  <si>
    <t xml:space="preserve">Authors</t>
  </si>
  <si>
    <t xml:space="preserve">Year</t>
  </si>
  <si>
    <t xml:space="preserve">Title</t>
  </si>
  <si>
    <t xml:space="preserve">Source</t>
  </si>
  <si>
    <t xml:space="preserve">Document type</t>
  </si>
  <si>
    <t xml:space="preserve">DOI or URL</t>
  </si>
  <si>
    <t xml:space="preserve">Did not fit the scope</t>
  </si>
  <si>
    <t xml:space="preserve">Web of Science</t>
  </si>
  <si>
    <t xml:space="preserve">A001</t>
  </si>
  <si>
    <t xml:space="preserve">Congyan Shu; Wentao Chen; Guisheng Fan; Huiqun Yu; Zijie Huang; Yuguo Liang</t>
  </si>
  <si>
    <t xml:space="preserve">2025</t>
  </si>
  <si>
    <t xml:space="preserve">Tool or Toy: Are SCA tools ready for challenging scenarios?</t>
  </si>
  <si>
    <t xml:space="preserve">Computers &amp; Security</t>
  </si>
  <si>
    <t xml:space="preserve">Journal article</t>
  </si>
  <si>
    <t xml:space="preserve">https://doi.org/10.1016/j.cose.2025.104624</t>
  </si>
  <si>
    <t xml:space="preserve">Duplicate removed</t>
  </si>
  <si>
    <t xml:space="preserve">Duplicate of record no. 3</t>
  </si>
  <si>
    <t xml:space="preserve">A002</t>
  </si>
  <si>
    <t xml:space="preserve">Rafael Pérez-Escamilla</t>
  </si>
  <si>
    <t xml:space="preserve">2012</t>
  </si>
  <si>
    <t xml:space="preserve">Can experience-based household food security scales help improve food security governance?</t>
  </si>
  <si>
    <t xml:space="preserve">Global Food Security</t>
  </si>
  <si>
    <t xml:space="preserve">https://doi.org/10.1016/j.gfs.2012.10.006</t>
  </si>
  <si>
    <t xml:space="preserve">A003</t>
  </si>
  <si>
    <t xml:space="preserve">Rafael Pérez-Escamilla; Muriel B. Gubert; Beatrice Rogers; Amber Hromi-Fiedler</t>
  </si>
  <si>
    <t xml:space="preserve">2017</t>
  </si>
  <si>
    <t xml:space="preserve">Food security measurement and governance: Assessment of the usefulness of diverse food insecurity indicators for policy makers</t>
  </si>
  <si>
    <t xml:space="preserve">https://doi.org/10.1016/j.gfs.2017.06.003</t>
  </si>
  <si>
    <t xml:space="preserve">A004</t>
  </si>
  <si>
    <t xml:space="preserve">Rafael Pérez-Escamilla; Teresa Shamah-Levy; Jeroen Candel</t>
  </si>
  <si>
    <t xml:space="preserve">Food security governance in Latin America: Principles and the way forward</t>
  </si>
  <si>
    <t xml:space="preserve">https://doi.org/10.1016/j.gfs.2017.07.001</t>
  </si>
  <si>
    <t xml:space="preserve">A005</t>
  </si>
  <si>
    <t xml:space="preserve">Yasumi Uchida</t>
  </si>
  <si>
    <t xml:space="preserve">2010</t>
  </si>
  <si>
    <t xml:space="preserve">Recent advances in coronary angioscopy</t>
  </si>
  <si>
    <t xml:space="preserve">Journal of Cardiology</t>
  </si>
  <si>
    <t xml:space="preserve">https://doi.org/10.1016/j.jjcc.2010.11.001</t>
  </si>
  <si>
    <t xml:space="preserve">Included</t>
  </si>
  <si>
    <t xml:space="preserve">Included in the final sample</t>
  </si>
  <si>
    <t xml:space="preserve">A006</t>
  </si>
  <si>
    <t xml:space="preserve">Ferda Özdemir Sönmez</t>
  </si>
  <si>
    <t xml:space="preserve">2019</t>
  </si>
  <si>
    <t xml:space="preserve">A conceptual model for a metric based framework for the monitoring of information security tasks' efficiency</t>
  </si>
  <si>
    <t xml:space="preserve">Procedia Computer Science</t>
  </si>
  <si>
    <t xml:space="preserve">Conference paper (journal proceedings)</t>
  </si>
  <si>
    <t xml:space="preserve">https://doi.org/10.1016/j.procs.2019.09.459</t>
  </si>
  <si>
    <t xml:space="preserve">A007</t>
  </si>
  <si>
    <t xml:space="preserve">Abeer A. Al Batayneh; Malik Qasaimeh; Raad S. Al-Qassas</t>
  </si>
  <si>
    <t xml:space="preserve">2021</t>
  </si>
  <si>
    <t xml:space="preserve">A scoring system for information security governance framework using deep learning algorithms: A case study on the banking sector</t>
  </si>
  <si>
    <t xml:space="preserve">Journal of Data and Information Quality</t>
  </si>
  <si>
    <t xml:space="preserve">https://doi.org/10.1145/3418172</t>
  </si>
  <si>
    <t xml:space="preserve">A008</t>
  </si>
  <si>
    <t xml:space="preserve">Robert Bose; Tristan Caulfield</t>
  </si>
  <si>
    <t xml:space="preserve">Cyber Risk Integration framework for Boards (CRIB): If boards had KPIs, would they pass?</t>
  </si>
  <si>
    <t xml:space="preserve">Proceedings of the New Security Paradigms Workshop (NSPW '25)</t>
  </si>
  <si>
    <t xml:space="preserve">Conference paper</t>
  </si>
  <si>
    <t xml:space="preserve">https://doi.org/10.1145/3774761.3774773</t>
  </si>
  <si>
    <t xml:space="preserve">A009</t>
  </si>
  <si>
    <t xml:space="preserve">Md Mamunur Rashid; Zarin Mosarat; AKM Ahasan Habib; Arnob Ghosh; Kazi Sajedur Rahman; Sakhr M. Sultan; Chih Ping Tso; Tan Wen Shan; Asif Islam; Md. Rokonuzzaman</t>
  </si>
  <si>
    <t xml:space="preserve">A comprehensive review of cybersecurity challenges and resilience strategies in renewable energy integration with battery storage for sustainable smart grids</t>
  </si>
  <si>
    <t xml:space="preserve">Results in Engineering</t>
  </si>
  <si>
    <t xml:space="preserve">https://doi.org/10.1016/j.rineng.2025.108557</t>
  </si>
  <si>
    <t xml:space="preserve">Duplicate of record no. 12</t>
  </si>
  <si>
    <t xml:space="preserve">A010</t>
  </si>
  <si>
    <t xml:space="preserve">Muhamad Azahar Abas; Chindo Sulaiman; Farah Nabila Ahmad; Siti Nur Syahira Abdullah Kasim</t>
  </si>
  <si>
    <t xml:space="preserve">Assessing the Role of Food Security and Governance on Environmental Sustainability in Malaysia</t>
  </si>
  <si>
    <t xml:space="preserve">SAGE Open</t>
  </si>
  <si>
    <t xml:space="preserve">https://doi.org/10.1177/21582440251399038</t>
  </si>
  <si>
    <t xml:space="preserve">A011</t>
  </si>
  <si>
    <t xml:space="preserve">Vaibhav Anu</t>
  </si>
  <si>
    <t xml:space="preserve">2022</t>
  </si>
  <si>
    <t xml:space="preserve">Information security governance metrics: A survey and taxonomy</t>
  </si>
  <si>
    <t xml:space="preserve">Information Security Journal: A Global Perspective</t>
  </si>
  <si>
    <t xml:space="preserve">https://doi.org/10.1080/19393555.2021.1922786</t>
  </si>
  <si>
    <t xml:space="preserve">A012</t>
  </si>
  <si>
    <t xml:space="preserve">Sasawat Malaivongs; Supaporn Kiattisin; Pattanaporn Chatjuthamard</t>
  </si>
  <si>
    <t xml:space="preserve">Cyber Trust Index: A framework for rating and improving cybersecurity performance</t>
  </si>
  <si>
    <t xml:space="preserve">Applied Sciences</t>
  </si>
  <si>
    <t xml:space="preserve">https://doi.org/10.3390/app122111174</t>
  </si>
  <si>
    <t xml:space="preserve">A013</t>
  </si>
  <si>
    <t xml:space="preserve">Xiao Feng; Shuaibing Lu; Taotao Gu; Yuanping Nie; Qian Yan; Mucheng Yang; Jinyang Chen; Xiaohui Kuang</t>
  </si>
  <si>
    <t xml:space="preserve">2026</t>
  </si>
  <si>
    <t xml:space="preserve">Fuzz Driver Generation: A Survey and Outlook from the Perspective of Data Sources</t>
  </si>
  <si>
    <t xml:space="preserve">Big Data and Cognitive Computing</t>
  </si>
  <si>
    <t xml:space="preserve">https://doi.org/10.3390/bdcc10040129</t>
  </si>
  <si>
    <t xml:space="preserve">A014</t>
  </si>
  <si>
    <t xml:space="preserve">Lora M. Carroll; John V. Farr; Timothy A. Trainor</t>
  </si>
  <si>
    <t xml:space="preserve">2008</t>
  </si>
  <si>
    <t xml:space="preserve">Weighted Scoring Model for Resource Allocation in Postconflict Reconstruction</t>
  </si>
  <si>
    <t xml:space="preserve">Journal of Infrastructure Systems</t>
  </si>
  <si>
    <t xml:space="preserve">https://doi.org/10.1061/(ASCE)1076-0342(2008)14:3(169)</t>
  </si>
  <si>
    <t xml:space="preserve">A015</t>
  </si>
  <si>
    <t xml:space="preserve">Francesco Casaril; Letterio Galletta</t>
  </si>
  <si>
    <t xml:space="preserve">Developing security metrics for space systems: A study considering the NIST Cybersecurity Framework 2.0 and the NIS2</t>
  </si>
  <si>
    <t xml:space="preserve">International Journal of Critical Infrastructure Protection</t>
  </si>
  <si>
    <t xml:space="preserve">https://doi.org/10.1016/j.ijcip.2025.100805</t>
  </si>
  <si>
    <t xml:space="preserve">A016</t>
  </si>
  <si>
    <t xml:space="preserve">Chang Tang; Xiaoliang Xie; Guo Wei; Linglong Pan; Zihan Qi</t>
  </si>
  <si>
    <t xml:space="preserve">2024</t>
  </si>
  <si>
    <t xml:space="preserve">Exploring the Evolutionary Characteristics of Food Security in China and the United States from a Multidimensional Perspective</t>
  </si>
  <si>
    <t xml:space="preserve">Foods</t>
  </si>
  <si>
    <t xml:space="preserve">https://doi.org/10.3390/foods13142272</t>
  </si>
  <si>
    <t xml:space="preserve">A017</t>
  </si>
  <si>
    <t xml:space="preserve">Oluwaseun Adeoye Oyebamiji; Berna Türkekul</t>
  </si>
  <si>
    <t xml:space="preserve">Beyond income: governance and protein supply drive global food security</t>
  </si>
  <si>
    <t xml:space="preserve">Frontiers in Sustainable Food Systems</t>
  </si>
  <si>
    <t xml:space="preserve">https://doi.org/10.3389/fsufs.2026.1726650</t>
  </si>
  <si>
    <t xml:space="preserve">Did not fit the scope; no extractable indicators or metrics</t>
  </si>
  <si>
    <t xml:space="preserve">A018</t>
  </si>
  <si>
    <t xml:space="preserve">Yong Li; Zhongcheng Wu; Jinwei Li; Liyang Xie</t>
  </si>
  <si>
    <t xml:space="preserve">A Multi-Scene Automatic Classification and Grading Method for Structured Sensitive Data Based on Privacy Preferences</t>
  </si>
  <si>
    <t xml:space="preserve">Future Internet</t>
  </si>
  <si>
    <t xml:space="preserve">https://doi.org/10.3390/fi17090384</t>
  </si>
  <si>
    <t xml:space="preserve">A019</t>
  </si>
  <si>
    <t xml:space="preserve">Alexandra Homolar</t>
  </si>
  <si>
    <t xml:space="preserve">2015</t>
  </si>
  <si>
    <t xml:space="preserve">Human security benchmarks: Governing human wellbeing at a distance</t>
  </si>
  <si>
    <t xml:space="preserve">Review of International Studies</t>
  </si>
  <si>
    <t xml:space="preserve">https://doi.org/10.1017/S0260210515000352</t>
  </si>
  <si>
    <t xml:space="preserve">Internal duplicate (earlier version)</t>
  </si>
  <si>
    <t xml:space="preserve">A020</t>
  </si>
  <si>
    <t xml:space="preserve">A027</t>
  </si>
  <si>
    <t xml:space="preserve">Yassine Maleh; Abdelkbir Sahid; Abdellah Ezzati; Mustapha Belaissaoui</t>
  </si>
  <si>
    <t xml:space="preserve">A capability maturity framework for IT security governance in organizations</t>
  </si>
  <si>
    <t xml:space="preserve">IAS 2017 (conference version)</t>
  </si>
  <si>
    <t xml:space="preserve">Conference paper (earlier version)</t>
  </si>
  <si>
    <t xml:space="preserve">A021</t>
  </si>
  <si>
    <t xml:space="preserve">Ziru Tang; Zenglian Zhang; Hongxia Wang</t>
  </si>
  <si>
    <t xml:space="preserve">How does data element security governance influence enterprise dynamic capabilities in a turbulent environment?</t>
  </si>
  <si>
    <t xml:space="preserve">Industrial Management &amp; Data Systems</t>
  </si>
  <si>
    <t xml:space="preserve">https://doi.org/10.1108/IMDS-02-2025-0203</t>
  </si>
  <si>
    <t xml:space="preserve">A022</t>
  </si>
  <si>
    <t xml:space="preserve">D. S. Bhilare; A. K. Ramani; Sanjay Tanwani</t>
  </si>
  <si>
    <t xml:space="preserve">2009</t>
  </si>
  <si>
    <t xml:space="preserve">Information security risk assessment and pointed reporting: Scalable approach</t>
  </si>
  <si>
    <t xml:space="preserve">2009 International Conference on Computer Engineering and Technology (ICCET)</t>
  </si>
  <si>
    <t xml:space="preserve">https://doi.org/10.1109/ICCET.2009.218</t>
  </si>
  <si>
    <t xml:space="preserve">A023</t>
  </si>
  <si>
    <t xml:space="preserve">Henock Mulugeta Melaku</t>
  </si>
  <si>
    <t xml:space="preserve">2023</t>
  </si>
  <si>
    <t xml:space="preserve">A dynamic and adaptive cybersecurity governance framework</t>
  </si>
  <si>
    <t xml:space="preserve">Journal of Cybersecurity and Privacy</t>
  </si>
  <si>
    <t xml:space="preserve">https://doi.org/10.3390/jcp3030017</t>
  </si>
  <si>
    <t xml:space="preserve">Excluded at full-text assessment</t>
  </si>
  <si>
    <t xml:space="preserve">Did not meet the eligibility criteria: no extractable indicators or metrics</t>
  </si>
  <si>
    <t xml:space="preserve">A024</t>
  </si>
  <si>
    <t xml:space="preserve">Ivana Ogrizek Biškupić; Mislav Balković; Ivan Bencarić</t>
  </si>
  <si>
    <t xml:space="preserve">An Evidence-Based Architecture for Trustworthy Asset Discovery in Cybersecurity-Critical IT Environments</t>
  </si>
  <si>
    <t xml:space="preserve">https://doi.org/10.3390/jcp6020067</t>
  </si>
  <si>
    <t xml:space="preserve">Duplicate of record no. 28</t>
  </si>
  <si>
    <t xml:space="preserve">A025</t>
  </si>
  <si>
    <t xml:space="preserve">Xiaoyu Jiang; Yangfen Chen</t>
  </si>
  <si>
    <t xml:space="preserve">2020</t>
  </si>
  <si>
    <t xml:space="preserve">The Potential of Absorbing Foreign Agricultural Investment to Improve Food Security in Developing Countries</t>
  </si>
  <si>
    <t xml:space="preserve">Sustainability</t>
  </si>
  <si>
    <t xml:space="preserve">https://doi.org/10.3390/su12062481</t>
  </si>
  <si>
    <t xml:space="preserve">A026</t>
  </si>
  <si>
    <t xml:space="preserve">M. Kourime; J. Bryce; J. Jiang; R. Nixon; M. Rodie; S.F. Ahmed</t>
  </si>
  <si>
    <t xml:space="preserve">An assessment of the quality of the I-DSD and the I-CAH registries - international registries for rare conditions affecting sex development</t>
  </si>
  <si>
    <t xml:space="preserve">Orphanet Journal of Rare Diseases</t>
  </si>
  <si>
    <t xml:space="preserve">https://doi.org/10.1186/s13023-017-0603-7</t>
  </si>
  <si>
    <t xml:space="preserve">2018</t>
  </si>
  <si>
    <t xml:space="preserve">Advances in Intelligent Systems and Computing (Proceedings of IAS 2017)</t>
  </si>
  <si>
    <t xml:space="preserve">Conference paper (book series)</t>
  </si>
  <si>
    <t xml:space="preserve">https://doi.org/10.1007/978-3-319-76354-5_20</t>
  </si>
  <si>
    <t xml:space="preserve">Duplicate of record no. 32</t>
  </si>
  <si>
    <t xml:space="preserve">A028</t>
  </si>
  <si>
    <t xml:space="preserve">George Bălan; Elena Serea; Alexandru Sălceanu; Dorin-Dumitru Lucache</t>
  </si>
  <si>
    <t xml:space="preserve">Formal Integration of ISO/IEC Digital Twin Standards: A Layered Compliance Model with Uncertainty Quantification</t>
  </si>
  <si>
    <t xml:space="preserve">Mathematics</t>
  </si>
  <si>
    <t xml:space="preserve">https://doi.org/10.3390/math14091425</t>
  </si>
  <si>
    <t xml:space="preserve">Did not meet the eligibility criteria: no relationship to governance and no extractable indicators or metrics</t>
  </si>
  <si>
    <t xml:space="preserve">A029</t>
  </si>
  <si>
    <t xml:space="preserve">Tadele Shimels; Lemma Lessa</t>
  </si>
  <si>
    <t xml:space="preserve">Maturity of information systems security in selected private banks in Ethiopia</t>
  </si>
  <si>
    <t xml:space="preserve">2021 International Conference on Information and Communication Technology for Development for Africa (ICT4DA)</t>
  </si>
  <si>
    <t xml:space="preserve">https://doi.org/10.1109/ICT4DA53266.2021.9672221</t>
  </si>
  <si>
    <t xml:space="preserve">A030</t>
  </si>
  <si>
    <t xml:space="preserve">Jörg Monar</t>
  </si>
  <si>
    <t xml:space="preserve">2013</t>
  </si>
  <si>
    <t xml:space="preserve">EU internal security governance: the case of counter-terrorism</t>
  </si>
  <si>
    <t xml:space="preserve">European Security</t>
  </si>
  <si>
    <t xml:space="preserve">https://doi.org/10.1080/09662839.2013.856308</t>
  </si>
  <si>
    <t xml:space="preserve">A031</t>
  </si>
  <si>
    <r>
      <rPr>
        <sz val="9"/>
        <rFont val="Arial"/>
        <family val="0"/>
        <charset val="1"/>
      </rPr>
      <t xml:space="preserve">Wang Fang (</t>
    </r>
    <r>
      <rPr>
        <sz val="9"/>
        <rFont val="Noto Sans CJK SC"/>
        <family val="2"/>
      </rPr>
      <t xml:space="preserve">王芳</t>
    </r>
    <r>
      <rPr>
        <sz val="9"/>
        <rFont val="Arial"/>
        <family val="0"/>
        <charset val="1"/>
      </rPr>
      <t xml:space="preserve">); Yao Fei (</t>
    </r>
    <r>
      <rPr>
        <sz val="9"/>
        <rFont val="Noto Sans CJK SC"/>
        <family val="2"/>
      </rPr>
      <t xml:space="preserve">姚飞</t>
    </r>
    <r>
      <rPr>
        <sz val="9"/>
        <rFont val="Arial"/>
        <family val="0"/>
        <charset val="1"/>
      </rPr>
      <t xml:space="preserve">); Wei Yinghao (</t>
    </r>
    <r>
      <rPr>
        <sz val="9"/>
        <rFont val="Noto Sans CJK SC"/>
        <family val="2"/>
      </rPr>
      <t xml:space="preserve">魏颖昊</t>
    </r>
    <r>
      <rPr>
        <sz val="9"/>
        <rFont val="Arial"/>
        <family val="0"/>
        <charset val="1"/>
      </rPr>
      <t xml:space="preserve">)</t>
    </r>
  </si>
  <si>
    <r>
      <rPr>
        <sz val="9"/>
        <rFont val="Noto Sans CJK SC"/>
        <family val="2"/>
      </rPr>
      <t xml:space="preserve">我国电子政务安全管理评价体系研究 </t>
    </r>
    <r>
      <rPr>
        <sz val="9"/>
        <rFont val="Arial"/>
        <family val="0"/>
        <charset val="1"/>
      </rPr>
      <t xml:space="preserve">[Research on evaluation system of e-government security governance]</t>
    </r>
  </si>
  <si>
    <t xml:space="preserve">Journal of Beijing Institute of Technology (Social Sciences Edition)</t>
  </si>
  <si>
    <t xml:space="preserve">https://journal.bit.edu.cn/sk/article/id/20090318</t>
  </si>
  <si>
    <t xml:space="preserve">A032</t>
  </si>
  <si>
    <t xml:space="preserve">Islam Yousef Hasan Daoud; Sudeh Dehnavi; Lars Ribbe</t>
  </si>
  <si>
    <t xml:space="preserve">Towards Good Water Governance: An Analysis of Jordan’s National Water Strategy</t>
  </si>
  <si>
    <t xml:space="preserve">Environmental Management</t>
  </si>
  <si>
    <t xml:space="preserve">https://doi.org/10.1007/s00267-022-01606-x</t>
  </si>
  <si>
    <t xml:space="preserve">A033</t>
  </si>
  <si>
    <t xml:space="preserve">Lars Magnusson; Sarfraz Iqbal; Patrik Elm; Fisnik Dalipi</t>
  </si>
  <si>
    <t xml:space="preserve">Information security governance in the public sector: Investigations, approaches, measures, and trends</t>
  </si>
  <si>
    <t xml:space="preserve">International Journal of Information Security</t>
  </si>
  <si>
    <t xml:space="preserve">https://doi.org/10.1007/s10207-025-01097-x</t>
  </si>
  <si>
    <t xml:space="preserve">Duplicate of record no. 39</t>
  </si>
  <si>
    <t xml:space="preserve">A034</t>
  </si>
  <si>
    <t xml:space="preserve">Yanyan Xu; Hao Wang; Kejia Zhang; Yue Han</t>
  </si>
  <si>
    <t xml:space="preserve">Ecological security assessment of urban park landscape using the DPSIR model and EW-PCA method</t>
  </si>
  <si>
    <t xml:space="preserve">Environment Development and Sustainability</t>
  </si>
  <si>
    <t xml:space="preserve">https://doi.org/10.1007/s10668-024-04472-1</t>
  </si>
  <si>
    <t xml:space="preserve">A035</t>
  </si>
  <si>
    <t xml:space="preserve">Rafał Wachnik; Katarzyna Chruzik; Bolesław Pochopień</t>
  </si>
  <si>
    <t xml:space="preserve">Sensor-based cyber risk management in railway infrastructure under the NIS2 Directive</t>
  </si>
  <si>
    <t xml:space="preserve">Sensors</t>
  </si>
  <si>
    <t xml:space="preserve">https://doi.org/10.3390/s25237384</t>
  </si>
  <si>
    <t xml:space="preserve">A036</t>
  </si>
  <si>
    <t xml:space="preserve">Bing Wang; Yiwei Lyu</t>
  </si>
  <si>
    <t xml:space="preserve">Research on the Compilation of a Composite Index from the Perspective of Public Value—The Case of the Global Health Security Index</t>
  </si>
  <si>
    <t xml:space="preserve">https://doi.org/10.3390/su151914574</t>
  </si>
  <si>
    <t xml:space="preserve">A037</t>
  </si>
  <si>
    <t xml:space="preserve">Aleid Sunniva Teeuwen; Markus A. Meyer; Yue Dou; Andrew Nelson</t>
  </si>
  <si>
    <t xml:space="preserve">A systematic review of the impact of food security governance measures as simulated in modelling studies</t>
  </si>
  <si>
    <t xml:space="preserve">Nature Food</t>
  </si>
  <si>
    <t xml:space="preserve">Journal article (review)</t>
  </si>
  <si>
    <t xml:space="preserve">https://doi.org/10.1038/s43016-022-00571-2</t>
  </si>
  <si>
    <t xml:space="preserve">Duplicate of record no. 44</t>
  </si>
  <si>
    <t xml:space="preserve">A038</t>
  </si>
  <si>
    <t xml:space="preserve">Katia Sakihama Ventura; Aline Maria Meiguins de Lima; Jie Zhuang; Mariana Sedenho de Morais; Laura de Oliveira Battistini Pestana</t>
  </si>
  <si>
    <t xml:space="preserve">Water governance using a climate-based water stress index: a case study of the Campinas Metropolitan Region (Brazil)</t>
  </si>
  <si>
    <t xml:space="preserve">Revista Brasileira de Recursos Hídricos</t>
  </si>
  <si>
    <t xml:space="preserve">https://doi.org/10.1590/2318-0331.312620250160</t>
  </si>
  <si>
    <t xml:space="preserve">A039</t>
  </si>
  <si>
    <t xml:space="preserve">Abhishek Thommandru; Varda Mone; Fayzulloyev Shokhijakhon; Giyosbek Mirzayev</t>
  </si>
  <si>
    <t xml:space="preserve">Algorithmic Profiling and Facial Recognition in EU Border Control: Examining ETIAS Decision‐Making, Privacy and Law</t>
  </si>
  <si>
    <t xml:space="preserve">Wiley Interdisciplinary Reviews Data Mining and Knowledge Discovery</t>
  </si>
  <si>
    <t xml:space="preserve">https://doi.org/10.1002/widm.70013</t>
  </si>
  <si>
    <t xml:space="preserve">Google Scholar</t>
  </si>
  <si>
    <t xml:space="preserve">A040</t>
  </si>
  <si>
    <t xml:space="preserve">Julia H. Allen; Jody R. Westby</t>
  </si>
  <si>
    <t xml:space="preserve">2007</t>
  </si>
  <si>
    <t xml:space="preserve">Characteristics of effective security governance</t>
  </si>
  <si>
    <t xml:space="preserve">EDPACS: The EDP Audit, Control, and Security Newsletter</t>
  </si>
  <si>
    <t xml:space="preserve">https://doi.org/10.1080/07366980701394229</t>
  </si>
  <si>
    <t xml:space="preserve">Duplicate of record no. 49</t>
  </si>
  <si>
    <t xml:space="preserve">A041</t>
  </si>
  <si>
    <t xml:space="preserve">Ahmad Abu-Musa</t>
  </si>
  <si>
    <t xml:space="preserve">Information security governance in Saudi organizations: An empirical study</t>
  </si>
  <si>
    <t xml:space="preserve">Information Management &amp; Computer Security</t>
  </si>
  <si>
    <t xml:space="preserve">https://doi.org/10.1108/09685221011079180</t>
  </si>
  <si>
    <t xml:space="preserve">Duplicate of record no. 7</t>
  </si>
  <si>
    <t xml:space="preserve">A042</t>
  </si>
  <si>
    <t xml:space="preserve">Eijiroh Ohki; Yonosuke Harada; Shuji Kawaguchi; Tetsuo Shiozaki; Tetsuyuki Kagaya</t>
  </si>
  <si>
    <t xml:space="preserve">Information security governance framework</t>
  </si>
  <si>
    <t xml:space="preserve">Proceedings of the First ACM Workshop on Information Security Governance (WISG '09)</t>
  </si>
  <si>
    <t xml:space="preserve">https://doi.org/10.1145/1655168.1655170</t>
  </si>
  <si>
    <t xml:space="preserve">A043</t>
  </si>
  <si>
    <t xml:space="preserve">Muhaned T. Al-Hashimi; Ahmed R. Alkhuwaylidee; Wael J. Al-nidawi; Saba K. Al-wassiti</t>
  </si>
  <si>
    <t xml:space="preserve">Evaluating information security governance frameworks in cloud computing environments using the Analytic Hierarchy Process (AHP)</t>
  </si>
  <si>
    <t xml:space="preserve">NeuroQuantology</t>
  </si>
  <si>
    <t xml:space="preserve">https://www.researchgate.net/publication/362062670</t>
  </si>
  <si>
    <t xml:space="preserve">A044</t>
  </si>
  <si>
    <t xml:space="preserve">Milan Renne</t>
  </si>
  <si>
    <t xml:space="preserve">Maturity of organisational security governance: A case study at Damen Naval</t>
  </si>
  <si>
    <t xml:space="preserve">Delft University of Technology (MSc thesis, Management of Technology)</t>
  </si>
  <si>
    <t xml:space="preserve">Master's thesis</t>
  </si>
  <si>
    <t xml:space="preserve">A045</t>
  </si>
  <si>
    <t xml:space="preserve">Adetomiwa A. Dosunmu; Peter Olusoji Ogundele</t>
  </si>
  <si>
    <t xml:space="preserve">Cyber defense performance measurement frameworks for executive and board level governance</t>
  </si>
  <si>
    <t xml:space="preserve">Computer Science &amp; IT Research Journal</t>
  </si>
  <si>
    <t xml:space="preserve">https://doi.org/10.51594/csitrj.v6i11.2164</t>
  </si>
  <si>
    <t xml:space="preserve">Duplicate of record no. 8</t>
  </si>
  <si>
    <t xml:space="preserve">Duplicate of record no. 9</t>
  </si>
  <si>
    <t xml:space="preserve">Duplicate of record no. 14</t>
  </si>
  <si>
    <t xml:space="preserve">Internal duplicate</t>
  </si>
  <si>
    <t xml:space="preserve">A046</t>
  </si>
  <si>
    <t xml:space="preserve">A047</t>
  </si>
  <si>
    <t xml:space="preserve">Rossouw de Bruin; S. H. von Solms</t>
  </si>
  <si>
    <t xml:space="preserve">2016</t>
  </si>
  <si>
    <t xml:space="preserve">Cybersecurity governance: How can we measure it?</t>
  </si>
  <si>
    <t xml:space="preserve">2016 IST-Africa Week Conference</t>
  </si>
  <si>
    <t xml:space="preserve">https://doi.org/10.1109/ISTAFRICA.2016.7530578</t>
  </si>
  <si>
    <t xml:space="preserve">A048</t>
  </si>
  <si>
    <t xml:space="preserve">Kevin Slonka; Sushma Mishra; Peter Draus; Natalya Bromall</t>
  </si>
  <si>
    <t xml:space="preserve">Measurement, reporting, and monitoring in organizational security governance from the security professional's perspective</t>
  </si>
  <si>
    <t xml:space="preserve">Cybersecurity Pedagogy and Practice Journal</t>
  </si>
  <si>
    <t xml:space="preserve">https://cppj.info/2023-2/n1/CPPJv2n1p38.html</t>
  </si>
  <si>
    <t xml:space="preserve">A049</t>
  </si>
  <si>
    <t xml:space="preserve">A050</t>
  </si>
  <si>
    <t xml:space="preserve">Ivano Bongiovanni; Karen Renaud; Humphrey Brydon; Renette Blignaut; Angelo Cavallo</t>
  </si>
  <si>
    <t xml:space="preserve">A quantification mechanism for assessing adherence to information security governance guidelines</t>
  </si>
  <si>
    <t xml:space="preserve">Information and Computer Security</t>
  </si>
  <si>
    <t xml:space="preserve">https://doi.org/10.1108/ICS-08-2021-0112</t>
  </si>
  <si>
    <t xml:space="preserve">A051</t>
  </si>
  <si>
    <t xml:space="preserve">Mario Sajko; Nikola Hadjina; Ivan Sedinić</t>
  </si>
  <si>
    <t xml:space="preserve">2011</t>
  </si>
  <si>
    <t xml:space="preserve">Information security governance and how to accomplish it</t>
  </si>
  <si>
    <t xml:space="preserve">Proceedings of the 34th International Convention MIPRO 2011</t>
  </si>
  <si>
    <t xml:space="preserve">https://ieeexplore.ieee.org/document/5967301</t>
  </si>
  <si>
    <t xml:space="preserve">A052</t>
  </si>
  <si>
    <t xml:space="preserve">Dmitry Kryukov; Raimonds Strauss</t>
  </si>
  <si>
    <t xml:space="preserve">Information security governance as key performance indicator for financial institutions</t>
  </si>
  <si>
    <t xml:space="preserve">Scientific Journal of Riga Technical University, Computer Science (Applied Computer Systems)</t>
  </si>
  <si>
    <t xml:space="preserve">https://doi.org/10.2478/v10143-009-0014-x</t>
  </si>
  <si>
    <t xml:space="preserve">A053</t>
  </si>
  <si>
    <t xml:space="preserve">Mounia Zaydi; Bouchaib Nasserddine</t>
  </si>
  <si>
    <t xml:space="preserve">Information system security governance: Technology intelligence perspective</t>
  </si>
  <si>
    <t xml:space="preserve">2016 International Conference on Advanced Communication Systems and Information Security (ACOSIS)</t>
  </si>
  <si>
    <t xml:space="preserve">https://doi.org/10.1109/ACOSIS.2016.7843921</t>
  </si>
  <si>
    <t xml:space="preserve">Duplicate of record no. 67</t>
  </si>
  <si>
    <t xml:space="preserve">A054</t>
  </si>
  <si>
    <t xml:space="preserve">Oscar Rebollo; Daniel Mellado; Eduardo Fernández-Medina; Haralambos Mouratidis</t>
  </si>
  <si>
    <t xml:space="preserve">Empirical evaluation of a cloud computing information security governance framework</t>
  </si>
  <si>
    <t xml:space="preserve">Information and Software Technology</t>
  </si>
  <si>
    <t xml:space="preserve">https://doi.org/10.1016/j.infsof.2014.10.003</t>
  </si>
  <si>
    <t xml:space="preserve">Duplicate of record no. 25</t>
  </si>
  <si>
    <t xml:space="preserve">A055</t>
  </si>
  <si>
    <t xml:space="preserve">Rachel J. Mahncke; Donald C. McDermid; Patricia A. Williams</t>
  </si>
  <si>
    <t xml:space="preserve">Measuring information security governance within general medical practice</t>
  </si>
  <si>
    <t xml:space="preserve">Proceedings of the 7th Australian Information Security Management Conference</t>
  </si>
  <si>
    <t xml:space="preserve">https://doi.org/10.4225/75/57b4040530dec</t>
  </si>
  <si>
    <t xml:space="preserve">A056</t>
  </si>
  <si>
    <t xml:space="preserve">Igor Bernik; Kaja Prislan</t>
  </si>
  <si>
    <t xml:space="preserve">Measuring information security performance with 10 by 10 model for holistic state evaluation</t>
  </si>
  <si>
    <t xml:space="preserve">PLOS ONE</t>
  </si>
  <si>
    <t xml:space="preserve">https://doi.org/10.1371/journal.pone.0163050</t>
  </si>
  <si>
    <t xml:space="preserve">A057</t>
  </si>
  <si>
    <t xml:space="preserve">Modelling cyber security governance maturity</t>
  </si>
  <si>
    <t xml:space="preserve">2015 IEEE International Symposium on Technology and Society (ISTAS)</t>
  </si>
  <si>
    <t xml:space="preserve">https://doi.org/10.1109/ISTAS.2015.7439415</t>
  </si>
  <si>
    <t xml:space="preserve">Duplicate of record no. 37</t>
  </si>
  <si>
    <t xml:space="preserve">A058</t>
  </si>
  <si>
    <t xml:space="preserve">Tejaswini C. Herath; Hemantha S. B. Herath; David Cullum</t>
  </si>
  <si>
    <t xml:space="preserve">An information security performance measurement tool for senior managers: Balanced scorecard integration for security governance and control frameworks</t>
  </si>
  <si>
    <t xml:space="preserve">Information Systems Frontiers</t>
  </si>
  <si>
    <t xml:space="preserve">https://doi.org/10.1007/s10796-022-10246-9</t>
  </si>
  <si>
    <t xml:space="preserve">A059</t>
  </si>
  <si>
    <t xml:space="preserve">Mohammed Nayeem</t>
  </si>
  <si>
    <t xml:space="preserve">Strategic cybersecurity governance: A risk-based policy framework for IT protection and compliance</t>
  </si>
  <si>
    <t xml:space="preserve">International Conference on Artificial Intelligence and Cybersecurity (ICAIC 2025)</t>
  </si>
  <si>
    <t xml:space="preserve">https://doi.org/10.65025/ICAIC25019n</t>
  </si>
  <si>
    <t xml:space="preserve">A060</t>
  </si>
  <si>
    <t xml:space="preserve">Alenka Brezavšček; Alenka Baggia</t>
  </si>
  <si>
    <t xml:space="preserve">Recent trends in information and cyber security maturity assessment: A systematic literature review</t>
  </si>
  <si>
    <t xml:space="preserve">Systems</t>
  </si>
  <si>
    <t xml:space="preserve">https://doi.org/10.3390/systems13010052</t>
  </si>
  <si>
    <t xml:space="preserve">A061</t>
  </si>
  <si>
    <t xml:space="preserve">Tamar Beridze; Giorgi Lomidze</t>
  </si>
  <si>
    <t xml:space="preserve">A policy-centered framework for cybersecurity management: Ensuring information assurance through governance and oversight</t>
  </si>
  <si>
    <t xml:space="preserve">International Journal of Advanced Computational Methodologies and Emerging Technologies</t>
  </si>
  <si>
    <t xml:space="preserve">https://owenpress.com/</t>
  </si>
  <si>
    <t xml:space="preserve">A062</t>
  </si>
  <si>
    <t xml:space="preserve">Luis Gómez; Carrie Vander Peterson; María Rojas; Andrés Pereira</t>
  </si>
  <si>
    <t xml:space="preserve">A risk-based approach to cybersecurity governance and management: Strengthening information assurance through policy development, compliance measures, and technical controls</t>
  </si>
  <si>
    <t xml:space="preserve">Annual Review of Foundational and Emerging Scientific Methodologies</t>
  </si>
  <si>
    <t xml:space="preserve">Research note</t>
  </si>
  <si>
    <t xml:space="preserve">https://hazeneditions.com/index.php/ARFESM/article/view/Gomez2025</t>
  </si>
  <si>
    <t xml:space="preserve">A063</t>
  </si>
  <si>
    <t xml:space="preserve">Gaurav Malik; Ramanan Hariharan; Zahir Sayyed</t>
  </si>
  <si>
    <t xml:space="preserve">Cybersecurity governance and risk management for digital transformation</t>
  </si>
  <si>
    <t xml:space="preserve">International Journal of Applied Mathematics</t>
  </si>
  <si>
    <t xml:space="preserve">https://doi.org/10.12732/ijam.v38i10s.1139</t>
  </si>
  <si>
    <t xml:space="preserve">A064</t>
  </si>
  <si>
    <t xml:space="preserve">Md. Omar Faruq; Md Harun-Or-Rashid Mollah</t>
  </si>
  <si>
    <t xml:space="preserve">Post-GDPR digital compliance in multinational organizations: Bridging legal obligations with cybersecurity governance</t>
  </si>
  <si>
    <t xml:space="preserve">American Journal of Scholarly Research and Innovation</t>
  </si>
  <si>
    <t xml:space="preserve">https://doi.org/10.63125/4qpdpf28</t>
  </si>
  <si>
    <t xml:space="preserve">Duplicate of record no. 4</t>
  </si>
  <si>
    <t xml:space="preserve">Local collection</t>
  </si>
  <si>
    <t xml:space="preserve">Duplicate of record no. 53</t>
  </si>
  <si>
    <t xml:space="preserve">Standard, guideline or report (not a study)</t>
  </si>
  <si>
    <t xml:space="preserve">A065</t>
  </si>
  <si>
    <t xml:space="preserve">Associação Brasileira de Normas Técnicas (ABNT)</t>
  </si>
  <si>
    <t xml:space="preserve">ABNT NBR ISO/IEC 27014:2021 – Segurança da informação, segurança cibernética e proteção da privacidade – Governança da segurança da informação</t>
  </si>
  <si>
    <t xml:space="preserve">ABNT (Brazilian adoption of ISO/IEC 27014:2020)</t>
  </si>
  <si>
    <t xml:space="preserve">Standard</t>
  </si>
  <si>
    <t xml:space="preserve">A066</t>
  </si>
  <si>
    <t xml:space="preserve">Sultan AlGhamdi; Khin Than Win; Elena Vlahu-Gjorgievska</t>
  </si>
  <si>
    <t xml:space="preserve">Information security governance challenges and critical success factors: Systematic review</t>
  </si>
  <si>
    <t xml:space="preserve">https://doi.org/10.1016/j.cose.2020.102030</t>
  </si>
  <si>
    <t xml:space="preserve">Manual or study guide</t>
  </si>
  <si>
    <t xml:space="preserve">A067</t>
  </si>
  <si>
    <t xml:space="preserve">Andrej Volchkov</t>
  </si>
  <si>
    <t xml:space="preserve">Information security governance: Framework and toolset for CISOs and decision makers</t>
  </si>
  <si>
    <t xml:space="preserve">CRC Press / Auerbach Publications</t>
  </si>
  <si>
    <t xml:space="preserve">Book</t>
  </si>
  <si>
    <t xml:space="preserve">https://doi.org/10.1201/9780429436536</t>
  </si>
  <si>
    <t xml:space="preserve">A068</t>
  </si>
  <si>
    <t xml:space="preserve">ISACA</t>
  </si>
  <si>
    <t xml:space="preserve">CGEIT Review Manual (8th ed.)</t>
  </si>
  <si>
    <t xml:space="preserve">Certification manual</t>
  </si>
  <si>
    <t xml:space="preserve">A069</t>
  </si>
  <si>
    <t xml:space="preserve">CISM Review Manual (16th ed.)</t>
  </si>
  <si>
    <t xml:space="preserve">A070</t>
  </si>
  <si>
    <t xml:space="preserve">Tariq Ali Shaikh</t>
  </si>
  <si>
    <t xml:space="preserve">CISSP Official Study Guide 8th &amp; 9th edition notes</t>
  </si>
  <si>
    <t xml:space="preserve">Self-published study notes</t>
  </si>
  <si>
    <t xml:space="preserve">Study notes</t>
  </si>
  <si>
    <t xml:space="preserve">A071</t>
  </si>
  <si>
    <t xml:space="preserve">Gabriele Zatterin; Grace Atkins; Alex Bollen; Jayesh Navin Shah; Sam Donaldson</t>
  </si>
  <si>
    <t xml:space="preserve">Cyber security skills in the UK labour market 2022: Findings report</t>
  </si>
  <si>
    <t xml:space="preserve">Department for Digital, Culture, Media and Sport (UK); Ipsos; Perspective Economics</t>
  </si>
  <si>
    <t xml:space="preserve">Government report</t>
  </si>
  <si>
    <t xml:space="preserve">Duplicate of record no. 18</t>
  </si>
  <si>
    <t xml:space="preserve">Duplicate of record no. 23</t>
  </si>
  <si>
    <t xml:space="preserve">Duplicate of record no. 30</t>
  </si>
  <si>
    <t xml:space="preserve">A072</t>
  </si>
  <si>
    <t xml:space="preserve">Microsoft</t>
  </si>
  <si>
    <t xml:space="preserve">Microsoft Digital Defense Report 2024: The foundations and new frontiers of cybersecurity</t>
  </si>
  <si>
    <t xml:space="preserve">Microsoft Threat Intelligence</t>
  </si>
  <si>
    <t xml:space="preserve">Industry report</t>
  </si>
  <si>
    <t xml:space="preserve">A073</t>
  </si>
  <si>
    <t xml:space="preserve">Keith Stouffer; Michael Pease; CheeYee Tang; Timothy Zimmerman; Victoria Pillitteri; Suzanne Lightman</t>
  </si>
  <si>
    <t xml:space="preserve">Guide to Operational Technology (OT) Security (NIST SP 800-82r3, initial public draft)</t>
  </si>
  <si>
    <t xml:space="preserve">National Institute of Standards and Technology</t>
  </si>
  <si>
    <t xml:space="preserve">Standard / guideline (draft)</t>
  </si>
  <si>
    <t xml:space="preserve">https://doi.org/10.6028/NIST.SP.800-82r3.ipd</t>
  </si>
  <si>
    <t xml:space="preserve">A074</t>
  </si>
  <si>
    <t xml:space="preserve">Pauline Bowen; Joan Hash; Mark Wilson</t>
  </si>
  <si>
    <t xml:space="preserve">2006</t>
  </si>
  <si>
    <t xml:space="preserve">Information security handbook: A guide for managers (NIST SP 800-100)</t>
  </si>
  <si>
    <t xml:space="preserve">Standard / guideline</t>
  </si>
  <si>
    <t xml:space="preserve">https://doi.org/10.6028/NIST.SP.800-100</t>
  </si>
  <si>
    <t xml:space="preserve">Internal duplicate (author manuscript)</t>
  </si>
  <si>
    <t xml:space="preserve">A075</t>
  </si>
  <si>
    <t xml:space="preserve">A076</t>
  </si>
  <si>
    <t xml:space="preserve">Certified Cybersecurity Operations Analyst (CCOA) Official Review Manual</t>
  </si>
  <si>
    <t xml:space="preserve">Duplicate of record no. 73</t>
  </si>
  <si>
    <t xml:space="preserve">Duplicate of record no. 41</t>
  </si>
  <si>
    <t xml:space="preserve">Not retrieved</t>
  </si>
  <si>
    <t xml:space="preserve">Full-text access unavailable</t>
  </si>
  <si>
    <t xml:space="preserve">Web of Science / Google Scholar</t>
  </si>
  <si>
    <t xml:space="preserve">Heredia H. et al.</t>
  </si>
  <si>
    <t xml:space="preserve">Towards the information security governance for institutions of higher education: Harmonization of standards</t>
  </si>
  <si>
    <t xml:space="preserve">Applied Technologies (ICAT 2019), Communications in Computer and Information Science</t>
  </si>
  <si>
    <t xml:space="preserve">Tsiakis T. et al.</t>
  </si>
  <si>
    <t xml:space="preserve">IT security governance in e-banking</t>
  </si>
  <si>
    <t xml:space="preserve">IT Security Governance Innovations: Theory and Research (book chapter)</t>
  </si>
  <si>
    <t xml:space="preserve">Book chapter</t>
  </si>
  <si>
    <t xml:space="preserve">Ling S. X. et al.</t>
  </si>
  <si>
    <t xml:space="preserve">Code, control and cybersecurity: How board IT expertise shapes corporate risk management</t>
  </si>
  <si>
    <t xml:space="preserve">Journal of Accounting Literature (early access)</t>
  </si>
  <si>
    <t xml:space="preserve">Bhamriya A. K. et al.</t>
  </si>
  <si>
    <t xml:space="preserve">A holistic approach for assessment of global Industry 4.0 maturity level</t>
  </si>
  <si>
    <t xml:space="preserve">Engineering Management Journal</t>
  </si>
  <si>
    <t xml:space="preserve">Cao X. H.; Zhang L.</t>
  </si>
  <si>
    <t xml:space="preserve">Social network analysis for crime prediction under social computing and deep learning technology</t>
  </si>
  <si>
    <t xml:space="preserve">Scientific Reports</t>
  </si>
  <si>
    <t xml:space="preserve">Rietjens S. et al.</t>
  </si>
  <si>
    <t xml:space="preserve">Measuring the immeasurable? The effects-based approach in comprehensive peace operations</t>
  </si>
  <si>
    <t xml:space="preserve">International Journal of Public Administration</t>
  </si>
  <si>
    <t xml:space="preserve">Bhilare D. S. et al.</t>
  </si>
  <si>
    <t xml:space="preserve">Information security risk assessment &amp; pointed reporting: Scalable approach</t>
  </si>
  <si>
    <t xml:space="preserve">Teeuwen A. S. et al.</t>
  </si>
  <si>
    <t xml:space="preserve">Hrytsyshen D. et al.</t>
  </si>
  <si>
    <t xml:space="preserve">Evaluation of financial monitoring systems effectiveness in its relationship to the country's security indicators</t>
  </si>
  <si>
    <t xml:space="preserve">Ekonomia i Prawo – Economics and Law</t>
  </si>
  <si>
    <t xml:space="preserve">Tang Z. R. et al.</t>
  </si>
  <si>
    <t xml:space="preserve">Industrial Management &amp; Data Systems (early access)</t>
  </si>
  <si>
    <t xml:space="preserve">Thommandru A. et al.</t>
  </si>
  <si>
    <t xml:space="preserve">Algorithmic profiling and facial recognition in EU border control: Examining ETIAS decision-making, privacy and law</t>
  </si>
  <si>
    <t xml:space="preserve">Wiley Interdisciplinary Reviews: Data Mining and Knowledge Discovery</t>
  </si>
  <si>
    <t xml:space="preserve">Heap B. et al.</t>
  </si>
  <si>
    <t xml:space="preserve">A joint human/machine process for coding events and conflict drivers</t>
  </si>
  <si>
    <t xml:space="preserve">Advanced Data Mining and Applications (ADMA 2017), Lecture Notes in Artificial Intelligence</t>
  </si>
  <si>
    <t xml:space="preserve">Excluded at preliminary screening</t>
  </si>
  <si>
    <t xml:space="preserve">Akhyari Nasir; Ruzaini Abdullah Arshah; Universiti Malaysia Pahang et al.</t>
  </si>
  <si>
    <t xml:space="preserve">Information Security Culture Concept towards Information Security Compliance: A Comparison between IT and Non-IT Professionals</t>
  </si>
  <si>
    <t xml:space="preserve">International Journal of Integrated Engineering</t>
  </si>
  <si>
    <t xml:space="preserve">https://doi.org/10.30880/ijie.2022.14.03.017</t>
  </si>
  <si>
    <t xml:space="preserve">Miranda Stanfield</t>
  </si>
  <si>
    <t xml:space="preserve">Evaluating control-based AI governance in cybersecurity GRC programs: An expert assessment study</t>
  </si>
  <si>
    <t xml:space="preserve">RAIS Conference Proceedings (Research Association for Interdisciplinary Studies)</t>
  </si>
  <si>
    <t xml:space="preserve">https://doi.org/10.5281/zenodo.19553772</t>
  </si>
  <si>
    <t xml:space="preserve">Congyan Shu; Wentao Chen; Guisheng Fan et al.</t>
  </si>
  <si>
    <t xml:space="preserve">Zhiying Wang; Nianxin Wang; Xiang Su et al.</t>
  </si>
  <si>
    <t xml:space="preserve">An empirical study on business analytics affordances enhancing the management of cloud computing data security</t>
  </si>
  <si>
    <t xml:space="preserve">International Journal of Information Management</t>
  </si>
  <si>
    <t xml:space="preserve">https://doi.org/10.1016/j.ijinfomgt.2019.09.002</t>
  </si>
  <si>
    <t xml:space="preserve">Yiren Liu; Lynleigh Evans; Terence Kwan et al.</t>
  </si>
  <si>
    <t xml:space="preserve">Developing a maturity model for cancer multidisciplinary teams</t>
  </si>
  <si>
    <t xml:space="preserve">International Journal of Medical Informatics</t>
  </si>
  <si>
    <t xml:space="preserve">https://doi.org/10.1016/j.ijmedinf.2021.104610</t>
  </si>
  <si>
    <t xml:space="preserve">Rafael Pérez-Escamilla; Muriel B. Gubert; Beatrice Rogers et al.</t>
  </si>
  <si>
    <t xml:space="preserve">Not identified on the copy</t>
  </si>
  <si>
    <t xml:space="preserve">n.d.</t>
  </si>
  <si>
    <t xml:space="preserve">An overview of recent and emerging developments in PLS-SEM</t>
  </si>
  <si>
    <t xml:space="preserve">Desi Rahma Aryanti</t>
  </si>
  <si>
    <t xml:space="preserve">Cybersecurity governance in public institutions: Managing digital risks and resilience</t>
  </si>
  <si>
    <t xml:space="preserve">VISIONER, 17(3), 24–35</t>
  </si>
  <si>
    <t xml:space="preserve">Maximilian Röglinger; Jens Pöppelbuß; Jörg Becker</t>
  </si>
  <si>
    <t xml:space="preserve">Maturity models in business process management</t>
  </si>
  <si>
    <t xml:space="preserve">Business Process Management Journal</t>
  </si>
  <si>
    <t xml:space="preserve">https://doi.org/10.1108/14637151211225225</t>
  </si>
  <si>
    <t xml:space="preserve">Joshua Porche; Shawon Rahman</t>
  </si>
  <si>
    <t xml:space="preserve">Security Culture, Top Management, and Training on Security Effectiveness: A Correlational Study Without CISSP Participants</t>
  </si>
  <si>
    <t xml:space="preserve">International journal of Computer Networks &amp; Communications</t>
  </si>
  <si>
    <t xml:space="preserve">https://doi.org/10.5121/ijcnc.2023.15205</t>
  </si>
  <si>
    <t xml:space="preserve">Eijiroh Ohki et al.</t>
  </si>
  <si>
    <t xml:space="preserve">Proceedings of the First ACM Workshop on Information Security Governance</t>
  </si>
  <si>
    <t xml:space="preserve">Nansi Lidya Lolowang; Eka Afnan Troena; Atim Djazuli et al.</t>
  </si>
  <si>
    <t xml:space="preserve">The effect of leadership and organizational culture on employee performance that is educated by motivation (study on the implementation empowerment programs in Jayapura city)</t>
  </si>
  <si>
    <t xml:space="preserve">Problems and Perspectives in Management</t>
  </si>
  <si>
    <t xml:space="preserve">https://doi.org/10.21511/ppm.17(1).2019.23</t>
  </si>
  <si>
    <t xml:space="preserve">Ezzat Alqurashi; Gary Wills; Lester Gilbert</t>
  </si>
  <si>
    <t xml:space="preserve">A Viable System Model for Information Security Governance: Establishing a Baseline of the Current Information Security Operations System</t>
  </si>
  <si>
    <t xml:space="preserve">IFIP advances in information and communication technology</t>
  </si>
  <si>
    <t xml:space="preserve">https://doi.org/10.1007/978-3-642-39218-4_19</t>
  </si>
  <si>
    <t xml:space="preserve">Pedro Augusto Córdova de Araújo</t>
  </si>
  <si>
    <t xml:space="preserve">Estudos comparativos de estimativas por pontos de função, UST e homem-hora</t>
  </si>
  <si>
    <t xml:space="preserve">Universidade de Brasília (specialisation monograph)</t>
  </si>
  <si>
    <t xml:space="preserve">Monograph</t>
  </si>
  <si>
    <t xml:space="preserve">Muhaned T. Al-Hashimi et al.</t>
  </si>
  <si>
    <t xml:space="preserve">NeuroQuantology, 20(6), 7669–7682</t>
  </si>
  <si>
    <t xml:space="preserve">Delft University of Technology (MSc thesis)</t>
  </si>
  <si>
    <t xml:space="preserve">Lasini Liyanage; Nalin Asanka Gamagedara Arachchilage</t>
  </si>
  <si>
    <t xml:space="preserve">SoK: Identifying limitations and bridging gaps of cybersecurity capability maturity models (CCMMs)</t>
  </si>
  <si>
    <t xml:space="preserve">arXiv:2408.16140</t>
  </si>
  <si>
    <t xml:space="preserve">Preprint</t>
  </si>
  <si>
    <t xml:space="preserve">Lasini Liyanage; Nalin Arachchilage; Giovanni Russello</t>
  </si>
  <si>
    <t xml:space="preserve">A novel framework to assess cybersecurity capability maturity</t>
  </si>
  <si>
    <t xml:space="preserve">arXiv:2504.01305</t>
  </si>
  <si>
    <t xml:space="preserve">Dyego Alves da Silva; Edgard Costa de Oliveira; Edna Dias Canedo</t>
  </si>
  <si>
    <t xml:space="preserve">Avaliação de riscos do processo de planejamento da contratação de TI: uma proposta para órgãos governamentais brasileiros</t>
  </si>
  <si>
    <t xml:space="preserve">Claes Fornell; David F. Larcker</t>
  </si>
  <si>
    <t xml:space="preserve">1981</t>
  </si>
  <si>
    <t xml:space="preserve">Evaluating structural equation models with unobservable variables and measurement error</t>
  </si>
  <si>
    <t xml:space="preserve">Journal of Marketing Research, 18(1)</t>
  </si>
  <si>
    <t xml:space="preserve">Journal article (methodology)</t>
  </si>
  <si>
    <t xml:space="preserve">Laima Kauspadiene; Antanas Cenys; Nikolaj Goranin et al.</t>
  </si>
  <si>
    <t xml:space="preserve">High-Level Self-Sustaining Information Security Management Framework</t>
  </si>
  <si>
    <t xml:space="preserve">Baltic Journal of Modern Computing</t>
  </si>
  <si>
    <t xml:space="preserve">https://doi.org/10.22364/bjmc.2017.5.1.07</t>
  </si>
  <si>
    <t xml:space="preserve">Allan Del Cistia Mello; Grace Ladeira Garbaccio</t>
  </si>
  <si>
    <t xml:space="preserve">O programa de integridade à luz da Lei 14.133/2021 e a oportunidade de modernização do Estado por meio do desenvolvimento de uma cultura de compliance efetiva</t>
  </si>
  <si>
    <t xml:space="preserve">Rogério Batista dos Santos; Tiago Barros Pontes e Silva</t>
  </si>
  <si>
    <t xml:space="preserve">Gestão da segurança da informação e comunicações</t>
  </si>
  <si>
    <t xml:space="preserve">RDBCI Revista Digital de Biblioteconomia e Ciência da Informação</t>
  </si>
  <si>
    <t xml:space="preserve">https://doi.org/10.20396/rdbci.v19i00.8665529</t>
  </si>
  <si>
    <t xml:space="preserve">Asaf Dori; Manoj Thomas</t>
  </si>
  <si>
    <t xml:space="preserve">A comparative analysis of governance in cyber security strategies</t>
  </si>
  <si>
    <t xml:space="preserve">PACIS 2021 Proceedings</t>
  </si>
  <si>
    <t xml:space="preserve">Ghada Gashgari; Robert Walters; Gary Wills</t>
  </si>
  <si>
    <t xml:space="preserve">A Proposed Best-practice Framework for Information Security Governance</t>
  </si>
  <si>
    <t xml:space="preserve">International Conference on Internet of Things, Big Data and Security (IoTBDS)</t>
  </si>
  <si>
    <t xml:space="preserve">https://doi.org/10.5220/0006303102950301</t>
  </si>
  <si>
    <t xml:space="preserve">Oscar Rebollo et al.</t>
  </si>
  <si>
    <t xml:space="preserve">A systematic review of information security governance frameworks in the cloud computing environment</t>
  </si>
  <si>
    <t xml:space="preserve">Journal of Universal Computer Science, 18(6), 798–815</t>
  </si>
  <si>
    <t xml:space="preserve">Shaun Posthumus; Rossouw von Solms</t>
  </si>
  <si>
    <t xml:space="preserve">2004</t>
  </si>
  <si>
    <t xml:space="preserve">A framework for the governance of information security</t>
  </si>
  <si>
    <t xml:space="preserve">https://doi.org/10.1016/j.cose.2004.10.006</t>
  </si>
  <si>
    <t xml:space="preserve">Md Mamunur Rashid; Zarin Mosarat; AKM Ahasan Habib et al.</t>
  </si>
  <si>
    <t xml:space="preserve">ABNT NBR ISO/IEC 27001:2022 – Information security management systems (corrected version 2023)</t>
  </si>
  <si>
    <t xml:space="preserve">ABNT</t>
  </si>
  <si>
    <t xml:space="preserve">ABNT NBR ISO/IEC 27002:2022 – Information security controls</t>
  </si>
  <si>
    <t xml:space="preserve">ABNT NBR ISO/IEC 27014:2021 – Governance of information security</t>
  </si>
  <si>
    <t xml:space="preserve">ABNT NBR ISO 31000:2018 – Risk management: Guidelines</t>
  </si>
  <si>
    <t xml:space="preserve">ABNT NBR ISO/IEC 38500:2018 – Governance of IT for the organization</t>
  </si>
  <si>
    <t xml:space="preserve">2005</t>
  </si>
  <si>
    <t xml:space="preserve">ABNT NBR ISO/IEC 27001 – Information security management systems (2005 edition)</t>
  </si>
  <si>
    <t xml:space="preserve">ABNT NBR ISO/IEC 27001:2022 – Information security management systems (corrected version 2023), second copy</t>
  </si>
  <si>
    <t xml:space="preserve">ABNT NBR ISO/IEC 27002:2022 – Information security controls, second copy</t>
  </si>
  <si>
    <t xml:space="preserve">Tribunal de Contas da União (TCU)</t>
  </si>
  <si>
    <t xml:space="preserve">Acórdão nº 1768/2022 – Plenário (TC 036.301/2021-3)</t>
  </si>
  <si>
    <t xml:space="preserve">TCU</t>
  </si>
  <si>
    <t xml:space="preserve">Audit decision (Brazilian Federal Court of Accounts, TCU)</t>
  </si>
  <si>
    <t xml:space="preserve">Carlos Henrique Leão Chagas; Andrew Hemerson Galeno Rodrigues</t>
  </si>
  <si>
    <t xml:space="preserve">Análise do processo de implementação de um sistema de gestão da segurança da informação com base na iso/iec 27001</t>
  </si>
  <si>
    <t xml:space="preserve">Revista fisio&amp;terapia.</t>
  </si>
  <si>
    <t xml:space="preserve">https://doi.org/10.69849/revistaft/pa10202501192208</t>
  </si>
  <si>
    <t xml:space="preserve">Ahmed Aleroud; Emad Abu-Shanab; Ahmad Al-Aiad et al.</t>
  </si>
  <si>
    <t xml:space="preserve">An examination of susceptibility to spear phishing cyber attacks in non-English speaking communities</t>
  </si>
  <si>
    <t xml:space="preserve">Journal of Information Security and Applications</t>
  </si>
  <si>
    <t xml:space="preserve">https://doi.org/10.1016/j.jisa.2020.102614</t>
  </si>
  <si>
    <t xml:space="preserve">Acórdão nº 1163/2022 – Plenário: survey on digital governance committees (TC 025.388/2021-5)</t>
  </si>
  <si>
    <t xml:space="preserve">Acórdão nº 4035/2020 – Plenário: overview of information security and cybersecurity (TC 001.873/2020-2)</t>
  </si>
  <si>
    <t xml:space="preserve">Acórdão nº 814/2018 – Plenário (TC 014.828/2017-0)</t>
  </si>
  <si>
    <t xml:space="preserve">Acórdão nº 1109/2022 – Plenário: critical security controls (TC 036.301/2021-3)</t>
  </si>
  <si>
    <t xml:space="preserve">Acórdão nº 1273/2015 – Plenário: public governance at national level (TC 020.830/2014-9)</t>
  </si>
  <si>
    <t xml:space="preserve">Acórdão nº 1299/2025 – Plenário (TC 005.467/2024-1)</t>
  </si>
  <si>
    <t xml:space="preserve">Acórdão nº 1508/2020 – Plenário (TC 022.253/2019-0)</t>
  </si>
  <si>
    <t xml:space="preserve">Acórdão nº 2513/2019 – Plenário (TC 020.750/2019-6)</t>
  </si>
  <si>
    <t xml:space="preserve">Acórdão nº 292/2025 – Plenário (TC 007.897/2024-3)</t>
  </si>
  <si>
    <t xml:space="preserve">Acórdão nº 2959/2021 – Plenário (TC 012.999/2021-0)</t>
  </si>
  <si>
    <t xml:space="preserve">Bilge Karabacak; Unal Tatar et al.</t>
  </si>
  <si>
    <t xml:space="preserve">An assessment model to improve national cyber security governance</t>
  </si>
  <si>
    <t xml:space="preserve">Franklin University Scholarly Exchange (FUSE)</t>
  </si>
  <si>
    <t xml:space="preserve">Biju B Varghese; Quang Neo Bui</t>
  </si>
  <si>
    <t xml:space="preserve">An integrated framework for information security risk management: A mixed-methods systematic literature review</t>
  </si>
  <si>
    <t xml:space="preserve">https://doi.org/10.1016/j.cose.2026.104957</t>
  </si>
  <si>
    <t xml:space="preserve">Mehdi Asgarkhani; Eduardo Correia</t>
  </si>
  <si>
    <t xml:space="preserve">An overview of information security governance</t>
  </si>
  <si>
    <t xml:space="preserve">2017 International Conference on Algorithms, Methodology, Models and Applications in Emerging Technologies (ICAMMAET)</t>
  </si>
  <si>
    <t xml:space="preserve">Sascha Nägele et al.</t>
  </si>
  <si>
    <t xml:space="preserve">Assessing team security maturity in large-scale agile development</t>
  </si>
  <si>
    <t xml:space="preserve">Proceedings of the 57th Hawaii International Conference on System Sciences (HICSS)</t>
  </si>
  <si>
    <t xml:space="preserve">Christian Flechsig; Jacob Lohmer; ROBERT VOß et al.</t>
  </si>
  <si>
    <t xml:space="preserve">Business process maturity model for digital transformation: an action design research study on the integration of information technology</t>
  </si>
  <si>
    <t xml:space="preserve">International Journal of Innovation Management</t>
  </si>
  <si>
    <t xml:space="preserve">https://doi.org/10.1142/S1363919622400126</t>
  </si>
  <si>
    <t xml:space="preserve">Xiao Feng; Shuaibing Lu; Taotao Gu et al.</t>
  </si>
  <si>
    <t xml:space="preserve">Philip M. Podsakoff; Scott B. MacKenzie; Jeong-Yeon Lee et al.</t>
  </si>
  <si>
    <t xml:space="preserve">2003</t>
  </si>
  <si>
    <t xml:space="preserve">Common method biases in behavioral research: A critical review of the literature and recommended remedies.</t>
  </si>
  <si>
    <t xml:space="preserve">Journal of Applied Psychology</t>
  </si>
  <si>
    <t xml:space="preserve">https://doi.org/10.1037/0021-9010.88.5.879</t>
  </si>
  <si>
    <t xml:space="preserve">Ivano Bongiovanni et al.</t>
  </si>
  <si>
    <t xml:space="preserve">A quantification mechanism for assessing adherence to information security governance guidelines (author accepted manuscript)</t>
  </si>
  <si>
    <t xml:space="preserve">Journal article (accepted manuscript)</t>
  </si>
  <si>
    <t xml:space="preserve">European Union Agency for Cybersecurity (ENISA)</t>
  </si>
  <si>
    <t xml:space="preserve">Building effective governance frameworks for the implementation of national cybersecurity strategies</t>
  </si>
  <si>
    <t xml:space="preserve">ENISA</t>
  </si>
  <si>
    <t xml:space="preserve">Agency report</t>
  </si>
  <si>
    <t xml:space="preserve">U.S. Department of Energy</t>
  </si>
  <si>
    <t xml:space="preserve">Cybersecurity Capability Maturity Model (C2M2), Version 2.1</t>
  </si>
  <si>
    <t xml:space="preserve">Government framework</t>
  </si>
  <si>
    <t xml:space="preserve">Yassine Maleh; Abdellah Ezzati; Abdelkebir Sahid; Mustapha Belaissaoui</t>
  </si>
  <si>
    <t xml:space="preserve">Towards a capability assessment framework for information security governance in organization</t>
  </si>
  <si>
    <t xml:space="preserve">Manuscript</t>
  </si>
  <si>
    <t xml:space="preserve">Journal article / manuscript</t>
  </si>
  <si>
    <t xml:space="preserve">Brazil</t>
  </si>
  <si>
    <t xml:space="preserve">1988</t>
  </si>
  <si>
    <t xml:space="preserve">Constituição da República Federativa do Brasil de 1988</t>
  </si>
  <si>
    <t xml:space="preserve">Presidência da República</t>
  </si>
  <si>
    <t xml:space="preserve">Brazilian legislation or regulation</t>
  </si>
  <si>
    <t xml:space="preserve">Center for Internet Security (CIS)</t>
  </si>
  <si>
    <t xml:space="preserve">CIS Critical Security Controls, Version 8.1</t>
  </si>
  <si>
    <t xml:space="preserve">CIS</t>
  </si>
  <si>
    <t xml:space="preserve">Industry framework</t>
  </si>
  <si>
    <t xml:space="preserve">CMMI Institute / ISACA</t>
  </si>
  <si>
    <t xml:space="preserve">CMMI Model Quick Reference Guide (CMMI V3.0)</t>
  </si>
  <si>
    <t xml:space="preserve">COBIT 2019 Framework: Introduction and methodology</t>
  </si>
  <si>
    <t xml:space="preserve">COBIT 2019 Framework: Governance and management objectives</t>
  </si>
  <si>
    <t xml:space="preserve">COBIT 2019 Design Guide: Designing an information and technology governance solution</t>
  </si>
  <si>
    <t xml:space="preserve">COBIT 2019 Implementation Guide: Implementing and optimizing an information and technology governance solution</t>
  </si>
  <si>
    <t xml:space="preserve">COBIT Focus Area: Information Security</t>
  </si>
  <si>
    <t xml:space="preserve">Gurvirender P.S. Tejay; Zareef A. Mohammed</t>
  </si>
  <si>
    <t xml:space="preserve">Cultivating security culture for information security success: A mixed-methods study based on anthropological perspective</t>
  </si>
  <si>
    <t xml:space="preserve">Information &amp; Management</t>
  </si>
  <si>
    <t xml:space="preserve">https://doi.org/10.1016/j.im.2022.103751</t>
  </si>
  <si>
    <t xml:space="preserve">ISCAP</t>
  </si>
  <si>
    <t xml:space="preserve">Cybersecurity Pedagogy and Practice Journal, Vol. 2, No. 1 (full issue)</t>
  </si>
  <si>
    <t xml:space="preserve">Journal issue</t>
  </si>
  <si>
    <t xml:space="preserve">Decreto nº 12.069/2024 – National Digital Government Strategy</t>
  </si>
  <si>
    <t xml:space="preserve">1967</t>
  </si>
  <si>
    <t xml:space="preserve">Decreto-Lei nº 200/1967 – Organisation of the federal administration</t>
  </si>
  <si>
    <t xml:space="preserve">Mary R. Lynn</t>
  </si>
  <si>
    <t xml:space="preserve">1986</t>
  </si>
  <si>
    <t xml:space="preserve">Determination and quantification of content validity</t>
  </si>
  <si>
    <t xml:space="preserve">Nursing Research</t>
  </si>
  <si>
    <t xml:space="preserve">Ken Peffers; Tuure Tuunanen; Marcus A. Rothenberger et al.</t>
  </si>
  <si>
    <t xml:space="preserve">A Design Science Research Methodology for Information Systems Research</t>
  </si>
  <si>
    <t xml:space="preserve">Journal of Management Information Systems</t>
  </si>
  <si>
    <t xml:space="preserve">https://doi.org/10.2753/MIS0742-1222240302</t>
  </si>
  <si>
    <t xml:space="preserve">Alan R. Hevner; Salvatore T. March; Jinsoo Park; Sudha Ram</t>
  </si>
  <si>
    <t xml:space="preserve">Design science in information systems research</t>
  </si>
  <si>
    <t xml:space="preserve">MIS Quarterly, 28(1), 75–105</t>
  </si>
  <si>
    <t xml:space="preserve">Qing Hu; Tamara Dinev; Paul Hart et al.</t>
  </si>
  <si>
    <t xml:space="preserve">Managing Employee Compliance with Information Security Policies: The Critical Role of Top Management and Organizational Culture*</t>
  </si>
  <si>
    <t xml:space="preserve">Decision Sciences</t>
  </si>
  <si>
    <t xml:space="preserve">https://doi.org/10.1111/j.1540-5915.2012.00361.x</t>
  </si>
  <si>
    <t xml:space="preserve">Decreto nº 12.572/2025 – National Information Security Policy</t>
  </si>
  <si>
    <t xml:space="preserve">Decreto nº 12.573/2025 – National Cybersecurity Strategy (E-Ciber)</t>
  </si>
  <si>
    <t xml:space="preserve">Muhammad Yasin et al.</t>
  </si>
  <si>
    <t xml:space="preserve">Designing information security governance recommendations and roadmap using COBIT 2019 framework and ISO 27001:2013 (case study Ditreskrimsus Polda XYZ)</t>
  </si>
  <si>
    <t xml:space="preserve">14th International Conference on Telecommunication Systems, Services, and Applications (TSSA)</t>
  </si>
  <si>
    <t xml:space="preserve">Sinan Saraçlı; Atılgan Erdoğmuş</t>
  </si>
  <si>
    <t xml:space="preserve">Determining the effects of information security knowledge on information security awareness via structural equation modelings</t>
  </si>
  <si>
    <t xml:space="preserve">Hacettepe Journal of Mathematics and Statistics</t>
  </si>
  <si>
    <t xml:space="preserve">https://doi.org/10.15672/HJMS.2018.641</t>
  </si>
  <si>
    <t xml:space="preserve">Glenn A. Bowen</t>
  </si>
  <si>
    <t xml:space="preserve">Document Analysis as a Qualitative Research Method</t>
  </si>
  <si>
    <t xml:space="preserve">Qualitative Research Journal</t>
  </si>
  <si>
    <t xml:space="preserve">https://doi.org/10.3316/QRJ0902027</t>
  </si>
  <si>
    <t xml:space="preserve">Joseph F. Hair; Jeffrey J. Risher; Marko Sarstedt et al.</t>
  </si>
  <si>
    <t xml:space="preserve">When to use and how to report the results of PLS-SEM</t>
  </si>
  <si>
    <t xml:space="preserve">European Business Review</t>
  </si>
  <si>
    <t xml:space="preserve">https://doi.org/10.1108/EBR-11-2018-0203</t>
  </si>
  <si>
    <t xml:space="preserve">Joyce Mariana Pereira; Daniel Clarismundo Borges</t>
  </si>
  <si>
    <t xml:space="preserve">Estruturas de governança de TI e COBIT – uma revisão da literatura</t>
  </si>
  <si>
    <t xml:space="preserve">Journal article (ISSN 1678-0817), vol. 27, issue 118</t>
  </si>
  <si>
    <t xml:space="preserve">https://doi.org/10.5281/zenodo.7555947</t>
  </si>
  <si>
    <t xml:space="preserve">Evaluating information security governance frameworks in cloud computing environments using the Analytic Hierarchy Process (AHP), second copy</t>
  </si>
  <si>
    <t xml:space="preserve">HM Government (United Kingdom)</t>
  </si>
  <si>
    <t xml:space="preserve">Government Cyber Security Strategy 2022–2030: Building a cyber resilient public sector</t>
  </si>
  <si>
    <t xml:space="preserve">HM Government</t>
  </si>
  <si>
    <t xml:space="preserve">Government strategy</t>
  </si>
  <si>
    <t xml:space="preserve">Secretaria de Governo Digital (Brazil)</t>
  </si>
  <si>
    <t xml:space="preserve">Guia do Framework de Privacidade e Segurança da Informação (PPSI), v1.1</t>
  </si>
  <si>
    <t xml:space="preserve">Secretaria de Governo Digital</t>
  </si>
  <si>
    <t xml:space="preserve">Government guideline</t>
  </si>
  <si>
    <t xml:space="preserve">Governa-SI: Estruturação da governança de segurança da informação no Tribunal de Contas da União (A02)</t>
  </si>
  <si>
    <t xml:space="preserve">Institutional document</t>
  </si>
  <si>
    <t xml:space="preserve">Jennie Popay et al.</t>
  </si>
  <si>
    <t xml:space="preserve">Guidance on the conduct of narrative synthesis in systematic reviews</t>
  </si>
  <si>
    <t xml:space="preserve">ESRC Methods Programme</t>
  </si>
  <si>
    <t xml:space="preserve">Methodological guidance</t>
  </si>
  <si>
    <t xml:space="preserve">Yassine Maleh et al.</t>
  </si>
  <si>
    <t xml:space="preserve">A capability maturity framework for IT security governance in organizations (earlier version)</t>
  </si>
  <si>
    <t xml:space="preserve">IAS 2017</t>
  </si>
  <si>
    <t xml:space="preserve">Scientific Journal of Riga Technical University, Computer Science</t>
  </si>
  <si>
    <t xml:space="preserve">Instrução Normativa SGD/ME nº 94/2022</t>
  </si>
  <si>
    <t xml:space="preserve">Diário Oficial da União</t>
  </si>
  <si>
    <t xml:space="preserve">Zhen Sui McKnight et al.</t>
  </si>
  <si>
    <t xml:space="preserve">Information security compliance regarding security culture, job satisfaction and related factors</t>
  </si>
  <si>
    <t xml:space="preserve">WISP 2020 Proceedings (Pre-ICIS Workshop on Information Security and Privacy)</t>
  </si>
  <si>
    <t xml:space="preserve">Information security governance framework, second copy</t>
  </si>
  <si>
    <t xml:space="preserve">Kevin A. Barton; Gurvirender Tejay; Michael Lane et al.</t>
  </si>
  <si>
    <t xml:space="preserve">Information system security commitment: A study of external influences on senior management</t>
  </si>
  <si>
    <t xml:space="preserve">https://doi.org/10.1016/j.cose.2016.02.007</t>
  </si>
  <si>
    <t xml:space="preserve">Sadaf Hina; Dhanapal Durai Dominic Panneer Selvam; Paul Benjamin Lowry</t>
  </si>
  <si>
    <t xml:space="preserve">Institutional governance and protection motivation: Theoretical insights into shaping employees’ security compliance behavior in higher education institutions in the developing world</t>
  </si>
  <si>
    <t xml:space="preserve">https://doi.org/10.1016/j.cose.2019.101594</t>
  </si>
  <si>
    <t xml:space="preserve">Rex B. Kline</t>
  </si>
  <si>
    <t xml:space="preserve">Principles and practice of structural equation modeling (3rd ed.)</t>
  </si>
  <si>
    <t xml:space="preserve">Book (methodology)</t>
  </si>
  <si>
    <t xml:space="preserve">Lei nº 13.709/2018 – General Data Protection Law (LGPD), consolidated text</t>
  </si>
  <si>
    <t xml:space="preserve">Lei nº 14.133/2021 – Public procurement and contracts law</t>
  </si>
  <si>
    <t xml:space="preserve">Withheld</t>
  </si>
  <si>
    <t xml:space="preserve">Internal document of the research team (withheld for anonymous review)</t>
  </si>
  <si>
    <t xml:space="preserve">Internal document</t>
  </si>
  <si>
    <t xml:space="preserve">Antônio Carlos Gil</t>
  </si>
  <si>
    <t xml:space="preserve">Como elaborar projetos de pesquisa</t>
  </si>
  <si>
    <t xml:space="preserve">Atlas</t>
  </si>
  <si>
    <t xml:space="preserve">Marina de Andrade Marconi; Eva Maria Lakatos</t>
  </si>
  <si>
    <t xml:space="preserve">Metodologia científica</t>
  </si>
  <si>
    <t xml:space="preserve">Métodos e técnicas de pesquisa social</t>
  </si>
  <si>
    <t xml:space="preserve">Licitações e contratos: orientações e jurisprudência do TCU (5th ed.)</t>
  </si>
  <si>
    <t xml:space="preserve">Institutional guide</t>
  </si>
  <si>
    <t xml:space="preserve">Rogério Guimarães; João Souza Neto; Maurício Rocha Lyra</t>
  </si>
  <si>
    <t xml:space="preserve">Modelo de governança de segurança da informaçãopara a administração pública federal</t>
  </si>
  <si>
    <t xml:space="preserve">Perspectivas em Gestão &amp; Conhecimento</t>
  </si>
  <si>
    <t xml:space="preserve">https://doi.org/10.21714/2236-417X2018v8n3p90</t>
  </si>
  <si>
    <t xml:space="preserve">Adriane Medeiros Melo</t>
  </si>
  <si>
    <t xml:space="preserve">O papel estratégico da governança de dados para alavancar ganhos nas capacidades dinâmicas de uma instituição financeira brasileira</t>
  </si>
  <si>
    <t xml:space="preserve">Universidade de Brasília (professional master's dissertation)</t>
  </si>
  <si>
    <t xml:space="preserve">Master's dissertation</t>
  </si>
  <si>
    <t xml:space="preserve">Modelling cyber security governance maturity, second copy</t>
  </si>
  <si>
    <t xml:space="preserve">Mathew Nicho</t>
  </si>
  <si>
    <t xml:space="preserve">A process model for implementing information systems security governance</t>
  </si>
  <si>
    <t xml:space="preserve">https://doi.org/10.1108/ICS-07-2016-0061</t>
  </si>
  <si>
    <t xml:space="preserve">The NIST Cybersecurity Framework (CSF) 2.0</t>
  </si>
  <si>
    <t xml:space="preserve">NIST Cybersecurity White Paper 29</t>
  </si>
  <si>
    <t xml:space="preserve">https://doi.org/10.6028/NIST.CSWP.29</t>
  </si>
  <si>
    <t xml:space="preserve">Apostol Vassilev et al.</t>
  </si>
  <si>
    <t xml:space="preserve">Adversarial machine learning: A taxonomy and terminology of attacks and mitigations (NIST AI 100-2e2025)</t>
  </si>
  <si>
    <t xml:space="preserve">Report</t>
  </si>
  <si>
    <t xml:space="preserve">https://doi.org/10.6028/NIST.AI.100-2e2025</t>
  </si>
  <si>
    <t xml:space="preserve">Celia Paulsen; Robert Byers</t>
  </si>
  <si>
    <t xml:space="preserve">Glossary of key information security terms</t>
  </si>
  <si>
    <t xml:space="preserve">https://doi.org/10.6028/NIST.IR.7298r3</t>
  </si>
  <si>
    <t xml:space="preserve">Peter Mell; Timothy Grance</t>
  </si>
  <si>
    <t xml:space="preserve">The NIST definition of cloud computing (NIST SP 800-145)</t>
  </si>
  <si>
    <t xml:space="preserve">Nadine Passos Conceição D'Oliveira; Francisco José Aragão Pedroza Cunha</t>
  </si>
  <si>
    <t xml:space="preserve">Lei Geral de Proteção de Dados (LGPD)</t>
  </si>
  <si>
    <t xml:space="preserve">https://doi.org/10.20396/rdbci.v22i00.8675749</t>
  </si>
  <si>
    <t xml:space="preserve">Yang Hoong; Davar Rezania</t>
  </si>
  <si>
    <t xml:space="preserve">Navigating Cybersecurity Governance: The influence of opportunity structures in socio-technical transitions for small and medium enterprises</t>
  </si>
  <si>
    <t xml:space="preserve">https://doi.org/10.1016/j.cose.2024.103852</t>
  </si>
  <si>
    <t xml:space="preserve">The Open Group</t>
  </si>
  <si>
    <t xml:space="preserve">Open Information Security Management Maturity Model (O-ISM3), Version 2.0</t>
  </si>
  <si>
    <t xml:space="preserve">Industry standard</t>
  </si>
  <si>
    <t xml:space="preserve">William W. Lidster; Shawon S.M. Rahman</t>
  </si>
  <si>
    <t xml:space="preserve">Obstacles to Implementation of Information Security Governance</t>
  </si>
  <si>
    <t xml:space="preserve">2018 17th IEEE International Conference On Trust, Security And Privacy In Computing And Communications/ 12th IEEE International Conference On Big Data Science And Engineering (TrustCom/BigDataSE)</t>
  </si>
  <si>
    <t xml:space="preserve">https://doi.org/10.1109/TrustCom/BigDataSE.2018.00276</t>
  </si>
  <si>
    <t xml:space="preserve">Khan Imdad Ullah</t>
  </si>
  <si>
    <t xml:space="preserve">Operationalizing information security governance: From framework adoption to control effectiveness</t>
  </si>
  <si>
    <t xml:space="preserve">Research Corridor Journal of Engineering Science, 1(2)</t>
  </si>
  <si>
    <t xml:space="preserve">Shwadhin Sharma; Eduardo Aparicio</t>
  </si>
  <si>
    <t xml:space="preserve">Organizational and team culture as antecedents of protection motivation among IT employees</t>
  </si>
  <si>
    <t xml:space="preserve">https://doi.org/10.1016/j.cose.2022.102774</t>
  </si>
  <si>
    <t xml:space="preserve">Sushma Mishra</t>
  </si>
  <si>
    <t xml:space="preserve">Organizational objectives for information security governance: A value focused assessment</t>
  </si>
  <si>
    <t xml:space="preserve">Information and Computer Security, 23(2), 122–144</t>
  </si>
  <si>
    <t xml:space="preserve">https://doi.org/10.1108/ICS-02-2014-0016</t>
  </si>
  <si>
    <t xml:space="preserve">Portaria SGD/MGI nº 852/2023 – Privacy and Information Security Programme (PPSI)</t>
  </si>
  <si>
    <t xml:space="preserve">Beatrice Akoth Owino; Collin Oduor; Gerald Chege</t>
  </si>
  <si>
    <t xml:space="preserve">A systematic literature review of cybersecurity risk assessment and management frameworks in higher education institutions</t>
  </si>
  <si>
    <t xml:space="preserve">The University Journal (DAEA), 7(2)</t>
  </si>
  <si>
    <t xml:space="preserve">Stef Schinagl; Abbas Shahim; Svetlana Khapova</t>
  </si>
  <si>
    <t xml:space="preserve">Paradoxical tensions in the implementation of digital security governance: Toward an ambidextrous approach to governing digital security</t>
  </si>
  <si>
    <t xml:space="preserve">https://doi.org/10.1016/j.cose.2022.102903</t>
  </si>
  <si>
    <t xml:space="preserve">Portaria SGD/MGI nº 5.950/2023</t>
  </si>
  <si>
    <t xml:space="preserve">Governo Digital</t>
  </si>
  <si>
    <t xml:space="preserve">Mounia Zaydi; Bouchaib Nassereddine</t>
  </si>
  <si>
    <t xml:space="preserve">A conceptual hybrid approach for information security governance</t>
  </si>
  <si>
    <t xml:space="preserve">International Journal of Mathematics and Computer Science, 16(1), 47–66</t>
  </si>
  <si>
    <t xml:space="preserve">Referencial básico de governança organizacional (3rd ed.)</t>
  </si>
  <si>
    <t xml:space="preserve">Wang Fang; Yao Fei; Wei Yinghao</t>
  </si>
  <si>
    <t xml:space="preserve">Journal of Beijing Institute of Technology (Social Sciences Edition), 11(3), 79–83</t>
  </si>
  <si>
    <t xml:space="preserve">Conselho Nacional de Saúde (Brazil)</t>
  </si>
  <si>
    <t xml:space="preserve">Resolução CNS nº 510/2016 – Ethics in human and social sciences research</t>
  </si>
  <si>
    <t xml:space="preserve">Conselho Nacional de Saúde</t>
  </si>
  <si>
    <t xml:space="preserve">Juliano Scherner Rossi</t>
  </si>
  <si>
    <t xml:space="preserve">Tratamento de riscos como técnica de design de contratos</t>
  </si>
  <si>
    <t xml:space="preserve">Fundação Getulio Vargas, EBAPE (master's dissertation)</t>
  </si>
  <si>
    <t xml:space="preserve">Helton Garcia; Rafael Rabelo Nunes; João Souza Neto</t>
  </si>
  <si>
    <t xml:space="preserve">Q.U.A.S.E.: uma metodologia ágil para diagnóstico de ataques de phishing</t>
  </si>
  <si>
    <t xml:space="preserve">Anais do SBSeg 2025</t>
  </si>
  <si>
    <t xml:space="preserve">Lena Y. Connolly; Michael Lang; David S. Wall</t>
  </si>
  <si>
    <t xml:space="preserve">Information Security Behavior: A Cross-Cultural Comparison of Irish and US Employees</t>
  </si>
  <si>
    <t xml:space="preserve">Information Systems Management</t>
  </si>
  <si>
    <t xml:space="preserve">https://doi.org/10.1080/10580530.2019.1651113</t>
  </si>
  <si>
    <t xml:space="preserve">Kathryn Marie Parsons; Elise Young; Marcus Antanas Butavicius et al.</t>
  </si>
  <si>
    <t xml:space="preserve">The Influence of Organizational Information Security Culture on Information Security Decision Making</t>
  </si>
  <si>
    <t xml:space="preserve">Journal of Cognitive Engineering and Decision Making</t>
  </si>
  <si>
    <t xml:space="preserve">https://doi.org/10.1177/1555343415575152</t>
  </si>
  <si>
    <t xml:space="preserve">Mincong Tang; Meng’gang Li; Tao Zhang</t>
  </si>
  <si>
    <t xml:space="preserve">The impacts of organizational culture on information security culture: a case study</t>
  </si>
  <si>
    <t xml:space="preserve">Information Technology and Management</t>
  </si>
  <si>
    <t xml:space="preserve">https://doi.org/10.1007/s10799-015-0252-2</t>
  </si>
  <si>
    <t xml:space="preserve">Tan Hwee Chin</t>
  </si>
  <si>
    <t xml:space="preserve">Enhancing supply chain resilience by addressing the Achilles heel of information sharing</t>
  </si>
  <si>
    <t xml:space="preserve">Universiti Sains Malaysia (master's thesis)</t>
  </si>
  <si>
    <t xml:space="preserve">Sonam Tenzin</t>
  </si>
  <si>
    <t xml:space="preserve">An investigation of the factors that influence information security culture in government organisations in Bhutan</t>
  </si>
  <si>
    <t xml:space="preserve">Doctoral thesis (Doctor of Information Technology)</t>
  </si>
  <si>
    <t xml:space="preserve">Doctoral thesis</t>
  </si>
  <si>
    <t xml:space="preserve">Susanne Durst; Christoph Hinteregger; Malgorzata Zieba</t>
  </si>
  <si>
    <t xml:space="preserve">The effect of environmental turbulence on cyber security risk management and organizational resilience</t>
  </si>
  <si>
    <t xml:space="preserve">https://doi.org/10.1016/j.cose.2023.103591</t>
  </si>
  <si>
    <t xml:space="preserve">Sean B Maynard; Terrence Tan; Atif Ahmad et al.</t>
  </si>
  <si>
    <t xml:space="preserve">Towards a Framework for Strategic Security Context in Information Security Governance</t>
  </si>
  <si>
    <t xml:space="preserve">Pacific Asia journal of the Association for Information Systems</t>
  </si>
  <si>
    <t xml:space="preserve">https://doi.org/10.17705/1PAIS.10403</t>
  </si>
  <si>
    <t xml:space="preserve">Fatimah faraji; Haralambos Mouratidis; Antonio Santos-Olmo et al.</t>
  </si>
  <si>
    <t xml:space="preserve">Towards Resilience by Design: Systematic Review of Critical Infrastructure Protection Against Systemic Risks</t>
  </si>
  <si>
    <t xml:space="preserve">Research Square</t>
  </si>
  <si>
    <t xml:space="preserve">https://doi.org/10.21203/rs.3.rs-7474776/v1</t>
  </si>
  <si>
    <t xml:space="preserve">Husam Haqaf; Murat Koyuncu</t>
  </si>
  <si>
    <t xml:space="preserve">Understanding key skills for information security managers</t>
  </si>
  <si>
    <t xml:space="preserve">https://doi.org/10.1016/j.ijinfomgt.2018.07.013</t>
  </si>
  <si>
    <t xml:space="preserve">Deborah Chimuanya Ugwuorah</t>
  </si>
  <si>
    <t xml:space="preserve">Socio-Technical Failures in Platform-Scale Cybersecurity: A Critical Examination of ISO/IEC 27001 and NIST CSF Effectiveness Through the 2020 Twitter Breach and 2021 Fastly Outage</t>
  </si>
  <si>
    <t xml:space="preserve">International Journal of Science Architecture Technology and Environment</t>
  </si>
  <si>
    <t xml:space="preserve">https://doi.org/10.63680/ijsate1225001.003</t>
  </si>
  <si>
    <t xml:space="preserve">A policy-centered framework for cybersecurity management: Ensuring information assurance through governance and oversight, second copy</t>
  </si>
  <si>
    <t xml:space="preserve">Luis Gómez et al.</t>
  </si>
  <si>
    <t xml:space="preserve">A risk-based approach to cybersecurity governance and management, second copy</t>
  </si>
  <si>
    <t xml:space="preserve">Cybersecurity governance and risk management for digital transformation, second copy</t>
  </si>
  <si>
    <t xml:space="preserve">Post-GDPR digital compliance in multinational organizations: Bridging legal obligations with cybersecurity governance, second copy</t>
  </si>
  <si>
    <t xml:space="preserve">Abhishek Thommandru; Varda Mone; Fayzulloyev Shokhijakhon et al.</t>
  </si>
  <si>
    <t xml:space="preserve">Katia Sakihama Ventura; Aline Maria Meiguins de Lima; Jie Zhuang et al.</t>
  </si>
  <si>
    <t xml:space="preserve">Jeffrey G. Proudfoot; W. Alec Cram; Stuart Madnick</t>
  </si>
  <si>
    <t xml:space="preserve">Weathering the storm: examining how organisations navigate the sea of cybersecurity regulations</t>
  </si>
  <si>
    <t xml:space="preserve">European Journal of Information Systems</t>
  </si>
  <si>
    <t xml:space="preserve">https://doi.org/10.1080/0960085X.2024.2345867</t>
  </si>
  <si>
    <t xml:space="preserve">Stef Schinagl; Abbas Shahim</t>
  </si>
  <si>
    <t xml:space="preserve">What do we know about information security governance?</t>
  </si>
  <si>
    <t xml:space="preserve">https://doi.org/10.1108/ICS-02-2019-0033</t>
  </si>
  <si>
    <t xml:space="preserve">Cinco controles de segurança cibernética para ontem</t>
  </si>
  <si>
    <t xml:space="preserve">Graziela Ferreira Guarda; Edgard Costa Oliveira; Rafael Timóteo de Sousa Júnior</t>
  </si>
  <si>
    <t xml:space="preserve">Analisys of IT outsourcing contracts at the TCU (Federal Court of Accounts) and of the legislation that governs these contracts in the Brazilian Federal Public administration</t>
  </si>
  <si>
    <t xml:space="preserve">Journal of Information Systems and Technology Management</t>
  </si>
  <si>
    <t xml:space="preserve">https://doi.org/10.4301/S1807-17752015000100005</t>
  </si>
  <si>
    <t xml:space="preserve">Muhamad Azahar Abas; Chindo Sulaiman; Farah Nabila Ahmad et al.</t>
  </si>
  <si>
    <t xml:space="preserve">John Agyekum Addae; Grace Simpson; George Oppong Appiagyei Ampong</t>
  </si>
  <si>
    <t xml:space="preserve">Factors Influencing Information Security Policy Compliance Behavior</t>
  </si>
  <si>
    <t xml:space="preserve">2019 International Conference on Cyber Security and Internet of Things (ICSIoT)</t>
  </si>
  <si>
    <t xml:space="preserve">https://doi.org/10.1109/ICSIoT47925.2019.00015</t>
  </si>
  <si>
    <t xml:space="preserve">Meila Rosanty Restutiani; Eko Ruddy Cahyadi; Jono Mintarto Munandar</t>
  </si>
  <si>
    <t xml:space="preserve">Influence of leadership style and incentives on agent performance in social security acquisition with organizational culture as an intervening variable</t>
  </si>
  <si>
    <t xml:space="preserve">Jurnal Aplikasi Manajemen</t>
  </si>
  <si>
    <t xml:space="preserve">https://doi.org/10.21776/ub.jam.2023.021.1.06</t>
  </si>
  <si>
    <t xml:space="preserve">Marian Carcary; Karen Renaud; Stephen McLaughlin; Conor O'Brien</t>
  </si>
  <si>
    <t xml:space="preserve">A framework for information security governance and management</t>
  </si>
  <si>
    <t xml:space="preserve">Magazine article (section: IT Governance and Management)</t>
  </si>
  <si>
    <t xml:space="preserve">Magazine article</t>
  </si>
  <si>
    <t xml:space="preserve">Decreto nº 12.069/2024 – National Digital Government Strategy, second copy</t>
  </si>
  <si>
    <t xml:space="preserve">Câmara dos Deputados</t>
  </si>
  <si>
    <t xml:space="preserve">Everton Luiz Candido Luiz; Gustavo Abib; Varlei Gomes de Oliveira</t>
  </si>
  <si>
    <t xml:space="preserve">A (In)Tolerância na Aplicação de Penalidades na Administração Pública Brasileira</t>
  </si>
  <si>
    <t xml:space="preserve">Revista de Administração Contemporânea</t>
  </si>
  <si>
    <t xml:space="preserve">https://doi.org/10.1590/1982-7849rac2023230005.por</t>
  </si>
  <si>
    <t xml:space="preserve">László Bognár; László Bottyán</t>
  </si>
  <si>
    <t xml:space="preserve">Evaluating Online Security Behavior: Development and Validation of a Personal Cybersecurity Awareness Scale for University Students</t>
  </si>
  <si>
    <t xml:space="preserve">Education Sciences</t>
  </si>
  <si>
    <t xml:space="preserve">https://doi.org/10.3390/educsci14060588</t>
  </si>
  <si>
    <t xml:space="preserve">Esteban Tocto-Cano; Sandro Paz Collado; Javier Linkolk López-Gonzales</t>
  </si>
  <si>
    <t xml:space="preserve">A Holistic Maturity Model for Quality Assessment and Innovation in Peruvian Universities</t>
  </si>
  <si>
    <t xml:space="preserve">https://doi.org/10.3390/educsci15020142</t>
  </si>
  <si>
    <t xml:space="preserve">Chang Tang; Xiaoliang Xie; Guo Wei et al.</t>
  </si>
  <si>
    <t xml:space="preserve">Yong Li; Zhongcheng Wu; Jinwei Li et al.</t>
  </si>
  <si>
    <t xml:space="preserve">Guia do Framework de Privacidade e Segurança da Informação (PPSI), second copy</t>
  </si>
  <si>
    <t xml:space="preserve">Guia de requisitos e obrigações quanto a privacidade e à segurança da informação</t>
  </si>
  <si>
    <t xml:space="preserve">Chir Neng Hung; Ming Dar Hwang; Yuan Chen Liu</t>
  </si>
  <si>
    <t xml:space="preserve">Show the Way to Information Security Governance for Universities in Taiwan</t>
  </si>
  <si>
    <t xml:space="preserve">Applied Mechanics and Materials</t>
  </si>
  <si>
    <t xml:space="preserve">https://doi.org/10.4028/www.scientific.net/AMM.278-280.2199</t>
  </si>
  <si>
    <t xml:space="preserve">Isaías Scalabrin Bianchi; Rui Dinis Sousa et al.</t>
  </si>
  <si>
    <t xml:space="preserve">Information technology governance for higher education institutions: A multi-country study</t>
  </si>
  <si>
    <t xml:space="preserve">Informatics, 8(2), 26</t>
  </si>
  <si>
    <t xml:space="preserve">M. Kourime; J. Bryce; J. Jiang et al.</t>
  </si>
  <si>
    <t xml:space="preserve">Joe F. Hair; Christian M. Ringle; Marko Sarstedt</t>
  </si>
  <si>
    <t xml:space="preserve">PLS-SEM: Indeed a Silver Bullet</t>
  </si>
  <si>
    <t xml:space="preserve">The Journal of Marketing Theory and Practice</t>
  </si>
  <si>
    <t xml:space="preserve">https://doi.org/10.2753/MTP1069-6679190202</t>
  </si>
  <si>
    <t xml:space="preserve">Akhyari Nasir; Ruzaini Abdullah Arshah; Mohd Rashid Ab Hamid</t>
  </si>
  <si>
    <t xml:space="preserve">Information Security Culture for Guiding Employee’s Security Behaviour: A Pilot Study</t>
  </si>
  <si>
    <t xml:space="preserve">International Conference on Information Management</t>
  </si>
  <si>
    <t xml:space="preserve">https://doi.org/10.1109/ICIM49319.2020.244699</t>
  </si>
  <si>
    <t xml:space="preserve">2014</t>
  </si>
  <si>
    <t xml:space="preserve">Optimizing ISO/IEC 27001:2013 using O-ISM3</t>
  </si>
  <si>
    <t xml:space="preserve">Industry guide</t>
  </si>
  <si>
    <t xml:space="preserve">FAIR – ISO/IEC 27005 Cookbook</t>
  </si>
  <si>
    <t xml:space="preserve">Jens Poeppelbuss; Björn Niehaves; Alexander Simons et al.</t>
  </si>
  <si>
    <t xml:space="preserve">Maturity Models in Information Systems Research: Literature Search and Analysis</t>
  </si>
  <si>
    <t xml:space="preserve">Communications of the Association for Information Systems</t>
  </si>
  <si>
    <t xml:space="preserve">https://doi.org/10.17705/1CAIS.02927</t>
  </si>
  <si>
    <t xml:space="preserve">Marcus Aurélio Carvalho Georg; Walisson Magno Silva Rodrigues; Carlos André de Melo Alves; Aldery Silveira Júnior; Rafael Rabelo Nunes</t>
  </si>
  <si>
    <t xml:space="preserve">Os desafios da segurança cibernética no setor público federal do Brasil: estudo sob a ótica de gestores de tecnologia da informação</t>
  </si>
  <si>
    <t xml:space="preserve">Revista Ibérica de Sistemas e Tecnologias de Informação (RISTI), 54</t>
  </si>
  <si>
    <t xml:space="preserve">Yanyan Xu; Hao Wang; Kejia Zhang et al.</t>
  </si>
  <si>
    <t xml:space="preserve">Jörg Henseler; Christian M. Ringle; Marko Sarstedt</t>
  </si>
  <si>
    <t xml:space="preserve">A new criterion for assessing discriminant validity in variance-based structural equation modeling</t>
  </si>
  <si>
    <t xml:space="preserve">Journal of the Academy of Marketing Science</t>
  </si>
  <si>
    <t xml:space="preserve">https://doi.org/10.1007/s11747-014-0403-8</t>
  </si>
  <si>
    <t xml:space="preserve">Jörg Becker; Ralf Knackstedt; Jens Pöppelbuß</t>
  </si>
  <si>
    <t xml:space="preserve">Developing maturity models for IT management: A procedure model and its application</t>
  </si>
  <si>
    <t xml:space="preserve">Business &amp; Information Systems Engineering</t>
  </si>
  <si>
    <t xml:space="preserve">Thiago de Jesus dos Santos</t>
  </si>
  <si>
    <t xml:space="preserve">Gestão de riscos e a norma ISO 31000: uma abordagem literária</t>
  </si>
  <si>
    <t xml:space="preserve">Management Journal</t>
  </si>
  <si>
    <t xml:space="preserve">https://doi.org/10.6008/CBPC2674-6417.2021.001.0001</t>
  </si>
  <si>
    <t xml:space="preserve">Generated with an AI research assistant (Perplexity)</t>
  </si>
  <si>
    <t xml:space="preserve">Revisão comparativa: SEM em cultura de segurança da informação e cibersegurança desde 2019</t>
  </si>
  <si>
    <t xml:space="preserve">Working summary</t>
  </si>
  <si>
    <t xml:space="preserve">AI-generated working summary (not a publication)</t>
  </si>
  <si>
    <t xml:space="preserve">Aline Rossales Sengik; Guilherme Lerch Lunardi; Isaías Scalabrin Bianchi et al.</t>
  </si>
  <si>
    <t xml:space="preserve">Using design science research to propose an IT governance model for higher education institutions</t>
  </si>
  <si>
    <t xml:space="preserve">Education and Information Technologies</t>
  </si>
  <si>
    <t xml:space="preserve">https://doi.org/10.1007/s10639-022-11088-3</t>
  </si>
  <si>
    <t xml:space="preserve">Grant Solomon; Irwin Brown</t>
  </si>
  <si>
    <t xml:space="preserve">The influence of organisational culture and information security culture on employee compliance behaviour</t>
  </si>
  <si>
    <t xml:space="preserve">Journal of Enterprise Information Management</t>
  </si>
  <si>
    <t xml:space="preserve">https://doi.org/10.1108/JEIM-08-2019-0217</t>
  </si>
  <si>
    <t xml:space="preserve">Md Tazul Islam; Laura Thue; Jana Grekul</t>
  </si>
  <si>
    <t xml:space="preserve">Understanding Traffic Safety Culture: Implications for Increasing Traffic Safety</t>
  </si>
  <si>
    <t xml:space="preserve">Transportation Research Record Journal of the Transportation Research Board</t>
  </si>
  <si>
    <t xml:space="preserve">https://doi.org/10.3141/2635-10</t>
  </si>
  <si>
    <t xml:space="preserve">Aleid Sunniva Teeuwen; Markus A. Meyer; Yue Dou et al.</t>
  </si>
  <si>
    <t xml:space="preserve">Alaa Tolah; Steven M. Furnell; Maria Papadaki</t>
  </si>
  <si>
    <t xml:space="preserve">An empirical analysis of the information security culture key factors framework</t>
  </si>
  <si>
    <t xml:space="preserve">https://doi.org/10.1016/j.cose.2021.102354</t>
  </si>
  <si>
    <t xml:space="preserve">Gregor Petrič; John N Just</t>
  </si>
  <si>
    <t xml:space="preserve">Information security culture and phishing-reporting model: structural equivalence across Germany, UK, and USA</t>
  </si>
  <si>
    <t xml:space="preserve">Journal of Cybersecurity</t>
  </si>
  <si>
    <t xml:space="preserve">https://doi.org/10.1093/cybsec/tyaf011</t>
  </si>
  <si>
    <t xml:space="preserve">Isaac Wiafe; Felix Nti Koranteng; Abigail Wiafe et al.</t>
  </si>
  <si>
    <t xml:space="preserve">The role of norms in information security policy compliance</t>
  </si>
  <si>
    <t xml:space="preserve">https://doi.org/10.1108/ICS-08-2019-0095</t>
  </si>
  <si>
    <t xml:space="preserve">Bilge Yigit Ozkan; Sonny van Lingen; Marco Spruit</t>
  </si>
  <si>
    <t xml:space="preserve">The Cybersecurity Focus Area Maturity (CYSFAM) Model</t>
  </si>
  <si>
    <t xml:space="preserve">https://doi.org/10.3390/jcp1010007</t>
  </si>
</sst>
</file>

<file path=xl/styles.xml><?xml version="1.0" encoding="utf-8"?>
<styleSheet xmlns="http://schemas.openxmlformats.org/spreadsheetml/2006/main">
  <numFmts count="1">
    <numFmt numFmtId="164" formatCode="General"/>
  </numFmts>
  <fonts count="13">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b val="true"/>
      <sz val="10"/>
      <name val="Arial"/>
      <family val="0"/>
      <charset val="1"/>
    </font>
    <font>
      <sz val="10"/>
      <name val="Arial"/>
      <family val="0"/>
      <charset val="1"/>
    </font>
    <font>
      <b val="true"/>
      <sz val="13"/>
      <color rgb="FF1F3864"/>
      <name val="Arial"/>
      <family val="0"/>
      <charset val="1"/>
    </font>
    <font>
      <b val="true"/>
      <sz val="11"/>
      <color rgb="FFFFFFFF"/>
      <name val="Arial"/>
      <family val="0"/>
      <charset val="1"/>
    </font>
    <font>
      <b val="true"/>
      <sz val="10"/>
      <color rgb="FFFFFFFF"/>
      <name val="Arial"/>
      <family val="0"/>
      <charset val="1"/>
    </font>
    <font>
      <sz val="9"/>
      <name val="Arial"/>
      <family val="0"/>
      <charset val="1"/>
    </font>
    <font>
      <u val="single"/>
      <sz val="9"/>
      <color rgb="FF0563C1"/>
      <name val="Arial"/>
      <family val="0"/>
      <charset val="1"/>
    </font>
    <font>
      <sz val="9"/>
      <name val="Noto Sans CJK SC"/>
      <family val="2"/>
    </font>
  </fonts>
  <fills count="3">
    <fill>
      <patternFill patternType="none"/>
    </fill>
    <fill>
      <patternFill patternType="gray125"/>
    </fill>
    <fill>
      <patternFill patternType="solid">
        <fgColor rgb="FF1F3864"/>
        <bgColor rgb="FF333333"/>
      </patternFill>
    </fill>
  </fills>
  <borders count="2">
    <border diagonalUp="false" diagonalDown="false">
      <left/>
      <right/>
      <top/>
      <bottom/>
      <diagonal/>
    </border>
    <border diagonalUp="false" diagonalDown="false">
      <left style="thin">
        <color rgb="FFBFC7D5"/>
      </left>
      <right style="thin">
        <color rgb="FFBFC7D5"/>
      </right>
      <top style="thin">
        <color rgb="FFBFC7D5"/>
      </top>
      <bottom style="thin">
        <color rgb="FFBFC7D5"/>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2" borderId="1" xfId="0" applyFont="tru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center"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center" vertical="bottom" textRotation="0" wrapText="false" indent="0" shrinkToFit="false"/>
      <protection locked="true" hidden="false"/>
    </xf>
    <xf numFmtId="164" fontId="9" fillId="2" borderId="1" xfId="0" applyFont="true" applyBorder="true" applyAlignment="true" applyProtection="false">
      <alignment horizontal="center" vertical="center" textRotation="0" wrapText="true" indent="0" shrinkToFit="false"/>
      <protection locked="true" hidden="false"/>
    </xf>
    <xf numFmtId="164" fontId="10" fillId="0" borderId="1" xfId="0" applyFont="true" applyBorder="true" applyAlignment="true" applyProtection="false">
      <alignment horizontal="general" vertical="top" textRotation="0" wrapText="true" indent="0" shrinkToFit="false"/>
      <protection locked="true" hidden="false"/>
    </xf>
    <xf numFmtId="164" fontId="11" fillId="0" borderId="1" xfId="0" applyFont="true" applyBorder="true" applyAlignment="true" applyProtection="false">
      <alignment horizontal="general" vertical="top" textRotation="0" wrapText="true" indent="0" shrinkToFit="false"/>
      <protection locked="true" hidden="false"/>
    </xf>
    <xf numFmtId="164" fontId="12" fillId="0"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0563C1"/>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C7D5"/>
      <rgbColor rgb="FF808080"/>
      <rgbColor rgb="FF9999FF"/>
      <rgbColor rgb="FF993366"/>
      <rgbColor rgb="FFFFFFCC"/>
      <rgbColor rgb="FFCCFFFF"/>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ables/table1.xml><?xml version="1.0" encoding="utf-8"?>
<table xmlns="http://schemas.openxmlformats.org/spreadsheetml/2006/main" id="1" name="Records" displayName="Records" ref="A1:L360" headerRowCount="1" totalsRowCount="0" totalsRowShown="0">
  <autoFilter ref="A1:L360"/>
  <tableColumns count="12">
    <tableColumn id="1" name="Record no."/>
    <tableColumn id="2" name="Stage reached"/>
    <tableColumn id="3" name="Decision and reason"/>
    <tableColumn id="4" name="Found in"/>
    <tableColumn id="5" name="Study ID"/>
    <tableColumn id="6" name="Same work as"/>
    <tableColumn id="7" name="Authors"/>
    <tableColumn id="8" name="Year"/>
    <tableColumn id="9" name="Title"/>
    <tableColumn id="10" name="Source"/>
    <tableColumn id="11" name="Document type"/>
    <tableColumn id="12" name="DOI or URL"/>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hyperlink" Target="https://doi.org/10.1016/j.cose.2025.104624" TargetMode="External"/><Relationship Id="rId2" Type="http://schemas.openxmlformats.org/officeDocument/2006/relationships/hyperlink" Target="https://doi.org/10.1016/j.gfs.2012.10.006" TargetMode="External"/><Relationship Id="rId3" Type="http://schemas.openxmlformats.org/officeDocument/2006/relationships/hyperlink" Target="https://doi.org/10.1016/j.gfs.2012.10.006" TargetMode="External"/><Relationship Id="rId4" Type="http://schemas.openxmlformats.org/officeDocument/2006/relationships/hyperlink" Target="https://doi.org/10.1016/j.gfs.2017.06.003" TargetMode="External"/><Relationship Id="rId5" Type="http://schemas.openxmlformats.org/officeDocument/2006/relationships/hyperlink" Target="https://doi.org/10.1016/j.gfs.2017.07.001" TargetMode="External"/><Relationship Id="rId6" Type="http://schemas.openxmlformats.org/officeDocument/2006/relationships/hyperlink" Target="https://doi.org/10.1016/j.jjcc.2010.11.001" TargetMode="External"/><Relationship Id="rId7" Type="http://schemas.openxmlformats.org/officeDocument/2006/relationships/hyperlink" Target="https://doi.org/10.1016/j.procs.2019.09.459" TargetMode="External"/><Relationship Id="rId8" Type="http://schemas.openxmlformats.org/officeDocument/2006/relationships/hyperlink" Target="https://doi.org/10.1145/3418172" TargetMode="External"/><Relationship Id="rId9" Type="http://schemas.openxmlformats.org/officeDocument/2006/relationships/hyperlink" Target="https://doi.org/10.1145/3774761.3774773" TargetMode="External"/><Relationship Id="rId10" Type="http://schemas.openxmlformats.org/officeDocument/2006/relationships/hyperlink" Target="https://doi.org/10.1016/j.rineng.2025.108557" TargetMode="External"/><Relationship Id="rId11" Type="http://schemas.openxmlformats.org/officeDocument/2006/relationships/hyperlink" Target="https://doi.org/10.1177/21582440251399038" TargetMode="External"/><Relationship Id="rId12" Type="http://schemas.openxmlformats.org/officeDocument/2006/relationships/hyperlink" Target="https://doi.org/10.1177/21582440251399038" TargetMode="External"/><Relationship Id="rId13" Type="http://schemas.openxmlformats.org/officeDocument/2006/relationships/hyperlink" Target="https://doi.org/10.1080/19393555.2021.1922786" TargetMode="External"/><Relationship Id="rId14" Type="http://schemas.openxmlformats.org/officeDocument/2006/relationships/hyperlink" Target="https://doi.org/10.3390/app122111174" TargetMode="External"/><Relationship Id="rId15" Type="http://schemas.openxmlformats.org/officeDocument/2006/relationships/hyperlink" Target="https://doi.org/10.3390/bdcc10040129" TargetMode="External"/><Relationship Id="rId16" Type="http://schemas.openxmlformats.org/officeDocument/2006/relationships/hyperlink" Target="https://doi.org/10.1061/(ASCE)1076-0342(2008)14:3(169)" TargetMode="External"/><Relationship Id="rId17" Type="http://schemas.openxmlformats.org/officeDocument/2006/relationships/hyperlink" Target="https://doi.org/10.1016/j.ijcip.2025.100805" TargetMode="External"/><Relationship Id="rId18" Type="http://schemas.openxmlformats.org/officeDocument/2006/relationships/hyperlink" Target="https://doi.org/10.3390/foods13142272" TargetMode="External"/><Relationship Id="rId19" Type="http://schemas.openxmlformats.org/officeDocument/2006/relationships/hyperlink" Target="https://doi.org/10.3389/fsufs.2026.1726650" TargetMode="External"/><Relationship Id="rId20" Type="http://schemas.openxmlformats.org/officeDocument/2006/relationships/hyperlink" Target="https://doi.org/10.3390/fi17090384" TargetMode="External"/><Relationship Id="rId21" Type="http://schemas.openxmlformats.org/officeDocument/2006/relationships/hyperlink" Target="https://doi.org/10.1017/S0260210515000352" TargetMode="External"/><Relationship Id="rId22" Type="http://schemas.openxmlformats.org/officeDocument/2006/relationships/hyperlink" Target="https://doi.org/10.1108/IMDS-02-2025-0203" TargetMode="External"/><Relationship Id="rId23" Type="http://schemas.openxmlformats.org/officeDocument/2006/relationships/hyperlink" Target="https://doi.org/10.1109/ICCET.2009.218" TargetMode="External"/><Relationship Id="rId24" Type="http://schemas.openxmlformats.org/officeDocument/2006/relationships/hyperlink" Target="https://doi.org/10.3390/jcp3030017" TargetMode="External"/><Relationship Id="rId25" Type="http://schemas.openxmlformats.org/officeDocument/2006/relationships/hyperlink" Target="https://doi.org/10.3390/jcp6020067" TargetMode="External"/><Relationship Id="rId26" Type="http://schemas.openxmlformats.org/officeDocument/2006/relationships/hyperlink" Target="https://doi.org/10.3390/su12062481" TargetMode="External"/><Relationship Id="rId27" Type="http://schemas.openxmlformats.org/officeDocument/2006/relationships/hyperlink" Target="https://doi.org/10.3390/su12062481" TargetMode="External"/><Relationship Id="rId28" Type="http://schemas.openxmlformats.org/officeDocument/2006/relationships/hyperlink" Target="https://doi.org/10.1186/s13023-017-0603-7" TargetMode="External"/><Relationship Id="rId29" Type="http://schemas.openxmlformats.org/officeDocument/2006/relationships/hyperlink" Target="https://doi.org/10.1007/978-3-319-76354-5_20" TargetMode="External"/><Relationship Id="rId30" Type="http://schemas.openxmlformats.org/officeDocument/2006/relationships/hyperlink" Target="https://doi.org/10.3390/math14091425" TargetMode="External"/><Relationship Id="rId31" Type="http://schemas.openxmlformats.org/officeDocument/2006/relationships/hyperlink" Target="https://doi.org/10.3390/math14091425" TargetMode="External"/><Relationship Id="rId32" Type="http://schemas.openxmlformats.org/officeDocument/2006/relationships/hyperlink" Target="https://doi.org/10.1109/ICT4DA53266.2021.9672221" TargetMode="External"/><Relationship Id="rId33" Type="http://schemas.openxmlformats.org/officeDocument/2006/relationships/hyperlink" Target="https://doi.org/10.1080/09662839.2013.856308" TargetMode="External"/><Relationship Id="rId34" Type="http://schemas.openxmlformats.org/officeDocument/2006/relationships/hyperlink" Target="https://journal.bit.edu.cn/sk/article/id/20090318" TargetMode="External"/><Relationship Id="rId35" Type="http://schemas.openxmlformats.org/officeDocument/2006/relationships/hyperlink" Target="https://doi.org/10.1007/s00267-022-01606-x" TargetMode="External"/><Relationship Id="rId36" Type="http://schemas.openxmlformats.org/officeDocument/2006/relationships/hyperlink" Target="https://doi.org/10.1007/s10207-025-01097-x" TargetMode="External"/><Relationship Id="rId37" Type="http://schemas.openxmlformats.org/officeDocument/2006/relationships/hyperlink" Target="https://doi.org/10.1007/s10668-024-04472-1" TargetMode="External"/><Relationship Id="rId38" Type="http://schemas.openxmlformats.org/officeDocument/2006/relationships/hyperlink" Target="https://doi.org/10.1007/s10668-024-04472-1" TargetMode="External"/><Relationship Id="rId39" Type="http://schemas.openxmlformats.org/officeDocument/2006/relationships/hyperlink" Target="https://doi.org/10.3390/s25237384" TargetMode="External"/><Relationship Id="rId40" Type="http://schemas.openxmlformats.org/officeDocument/2006/relationships/hyperlink" Target="https://doi.org/10.3390/su151914574" TargetMode="External"/><Relationship Id="rId41" Type="http://schemas.openxmlformats.org/officeDocument/2006/relationships/hyperlink" Target="https://doi.org/10.1038/s43016-022-00571-2" TargetMode="External"/><Relationship Id="rId42" Type="http://schemas.openxmlformats.org/officeDocument/2006/relationships/hyperlink" Target="https://doi.org/10.1590/2318-0331.312620250160" TargetMode="External"/><Relationship Id="rId43" Type="http://schemas.openxmlformats.org/officeDocument/2006/relationships/hyperlink" Target="https://doi.org/10.1590/2318-0331.312620250160" TargetMode="External"/><Relationship Id="rId44" Type="http://schemas.openxmlformats.org/officeDocument/2006/relationships/hyperlink" Target="https://doi.org/10.1002/widm.70013" TargetMode="External"/><Relationship Id="rId45" Type="http://schemas.openxmlformats.org/officeDocument/2006/relationships/hyperlink" Target="https://doi.org/10.1080/07366980701394229" TargetMode="External"/><Relationship Id="rId46" Type="http://schemas.openxmlformats.org/officeDocument/2006/relationships/hyperlink" Target="https://doi.org/10.1108/09685221011079180" TargetMode="External"/><Relationship Id="rId47" Type="http://schemas.openxmlformats.org/officeDocument/2006/relationships/hyperlink" Target="https://doi.org/10.1108/09685221011079180" TargetMode="External"/><Relationship Id="rId48" Type="http://schemas.openxmlformats.org/officeDocument/2006/relationships/hyperlink" Target="https://doi.org/10.1108/09685221011079180" TargetMode="External"/><Relationship Id="rId49" Type="http://schemas.openxmlformats.org/officeDocument/2006/relationships/hyperlink" Target="https://doi.org/10.1016/j.procs.2019.09.459" TargetMode="External"/><Relationship Id="rId50" Type="http://schemas.openxmlformats.org/officeDocument/2006/relationships/hyperlink" Target="https://doi.org/10.1145/1655168.1655170" TargetMode="External"/><Relationship Id="rId51" Type="http://schemas.openxmlformats.org/officeDocument/2006/relationships/hyperlink" Target="https://www.researchgate.net/publication/362062670" TargetMode="External"/><Relationship Id="rId52" Type="http://schemas.openxmlformats.org/officeDocument/2006/relationships/hyperlink" Target="https://doi.org/10.51594/csitrj.v6i11.2164" TargetMode="External"/><Relationship Id="rId53" Type="http://schemas.openxmlformats.org/officeDocument/2006/relationships/hyperlink" Target="https://doi.org/10.1145/3418172" TargetMode="External"/><Relationship Id="rId54" Type="http://schemas.openxmlformats.org/officeDocument/2006/relationships/hyperlink" Target="https://doi.org/10.1145/3774761.3774773" TargetMode="External"/><Relationship Id="rId55" Type="http://schemas.openxmlformats.org/officeDocument/2006/relationships/hyperlink" Target="https://doi.org/10.3390/app122111174" TargetMode="External"/><Relationship Id="rId56" Type="http://schemas.openxmlformats.org/officeDocument/2006/relationships/hyperlink" Target="https://doi.org/10.51594/csitrj.v6i11.2164" TargetMode="External"/><Relationship Id="rId57" Type="http://schemas.openxmlformats.org/officeDocument/2006/relationships/hyperlink" Target="https://doi.org/10.1109/ISTAFRICA.2016.7530578" TargetMode="External"/><Relationship Id="rId58" Type="http://schemas.openxmlformats.org/officeDocument/2006/relationships/hyperlink" Target="https://cppj.info/2023-2/n1/CPPJv2n1p38.html" TargetMode="External"/><Relationship Id="rId59" Type="http://schemas.openxmlformats.org/officeDocument/2006/relationships/hyperlink" Target="https://www.researchgate.net/publication/362062670" TargetMode="External"/><Relationship Id="rId60" Type="http://schemas.openxmlformats.org/officeDocument/2006/relationships/hyperlink" Target="https://doi.org/10.1108/ICS-08-2021-0112" TargetMode="External"/><Relationship Id="rId61" Type="http://schemas.openxmlformats.org/officeDocument/2006/relationships/hyperlink" Target="https://ieeexplore.ieee.org/document/5967301" TargetMode="External"/><Relationship Id="rId62" Type="http://schemas.openxmlformats.org/officeDocument/2006/relationships/hyperlink" Target="https://doi.org/10.2478/v10143-009-0014-x" TargetMode="External"/><Relationship Id="rId63" Type="http://schemas.openxmlformats.org/officeDocument/2006/relationships/hyperlink" Target="https://doi.org/10.1109/ACOSIS.2016.7843921" TargetMode="External"/><Relationship Id="rId64" Type="http://schemas.openxmlformats.org/officeDocument/2006/relationships/hyperlink" Target="https://doi.org/10.1016/j.infsof.2014.10.003" TargetMode="External"/><Relationship Id="rId65" Type="http://schemas.openxmlformats.org/officeDocument/2006/relationships/hyperlink" Target="https://doi.org/10.1016/j.infsof.2014.10.003" TargetMode="External"/><Relationship Id="rId66" Type="http://schemas.openxmlformats.org/officeDocument/2006/relationships/hyperlink" Target="https://doi.org/10.3390/jcp3030017" TargetMode="External"/><Relationship Id="rId67" Type="http://schemas.openxmlformats.org/officeDocument/2006/relationships/hyperlink" Target="https://doi.org/10.4225/75/57b4040530dec" TargetMode="External"/><Relationship Id="rId68" Type="http://schemas.openxmlformats.org/officeDocument/2006/relationships/hyperlink" Target="https://doi.org/10.1371/journal.pone.0163050" TargetMode="External"/><Relationship Id="rId69" Type="http://schemas.openxmlformats.org/officeDocument/2006/relationships/hyperlink" Target="https://doi.org/10.1109/ISTAS.2015.7439415" TargetMode="External"/><Relationship Id="rId70" Type="http://schemas.openxmlformats.org/officeDocument/2006/relationships/hyperlink" Target="https://doi.org/10.1007/s10207-025-01097-x" TargetMode="External"/><Relationship Id="rId71" Type="http://schemas.openxmlformats.org/officeDocument/2006/relationships/hyperlink" Target="https://doi.org/10.1007/s10796-022-10246-9" TargetMode="External"/><Relationship Id="rId72" Type="http://schemas.openxmlformats.org/officeDocument/2006/relationships/hyperlink" Target="https://doi.org/10.65025/ICAIC25019n" TargetMode="External"/><Relationship Id="rId73" Type="http://schemas.openxmlformats.org/officeDocument/2006/relationships/hyperlink" Target="https://doi.org/10.3390/systems13010052" TargetMode="External"/><Relationship Id="rId74" Type="http://schemas.openxmlformats.org/officeDocument/2006/relationships/hyperlink" Target="https://owenpress.com/" TargetMode="External"/><Relationship Id="rId75" Type="http://schemas.openxmlformats.org/officeDocument/2006/relationships/hyperlink" Target="https://hazeneditions.com/index.php/ARFESM/article/view/Gomez2025" TargetMode="External"/><Relationship Id="rId76" Type="http://schemas.openxmlformats.org/officeDocument/2006/relationships/hyperlink" Target="https://doi.org/10.12732/ijam.v38i10s.1139" TargetMode="External"/><Relationship Id="rId77" Type="http://schemas.openxmlformats.org/officeDocument/2006/relationships/hyperlink" Target="https://doi.org/10.63125/4qpdpf28" TargetMode="External"/><Relationship Id="rId78" Type="http://schemas.openxmlformats.org/officeDocument/2006/relationships/hyperlink" Target="https://doi.org/10.1016/j.gfs.2017.06.003" TargetMode="External"/><Relationship Id="rId79" Type="http://schemas.openxmlformats.org/officeDocument/2006/relationships/hyperlink" Target="https://doi.org/10.1016/j.cose.2020.102030" TargetMode="External"/><Relationship Id="rId80" Type="http://schemas.openxmlformats.org/officeDocument/2006/relationships/hyperlink" Target="https://doi.org/10.1201/9780429436536" TargetMode="External"/><Relationship Id="rId81" Type="http://schemas.openxmlformats.org/officeDocument/2006/relationships/hyperlink" Target="https://doi.org/10.3390/foods13142272" TargetMode="External"/><Relationship Id="rId82" Type="http://schemas.openxmlformats.org/officeDocument/2006/relationships/hyperlink" Target="https://doi.org/10.1108/IMDS-02-2025-0203" TargetMode="External"/><Relationship Id="rId83" Type="http://schemas.openxmlformats.org/officeDocument/2006/relationships/hyperlink" Target="https://doi.org/10.1016/j.infsof.2014.10.003" TargetMode="External"/><Relationship Id="rId84" Type="http://schemas.openxmlformats.org/officeDocument/2006/relationships/hyperlink" Target="https://doi.org/10.1016/j.infsof.2014.10.003" TargetMode="External"/><Relationship Id="rId85" Type="http://schemas.openxmlformats.org/officeDocument/2006/relationships/hyperlink" Target="https://doi.org/10.3390/jcp3030017" TargetMode="External"/><Relationship Id="rId86" Type="http://schemas.openxmlformats.org/officeDocument/2006/relationships/hyperlink" Target="https://doi.org/10.1007/978-3-319-76354-5_20" TargetMode="External"/><Relationship Id="rId87" Type="http://schemas.openxmlformats.org/officeDocument/2006/relationships/hyperlink" Target="https://doi.org/10.6028/NIST.SP.800-82r3.ipd" TargetMode="External"/><Relationship Id="rId88" Type="http://schemas.openxmlformats.org/officeDocument/2006/relationships/hyperlink" Target="https://doi.org/10.6028/NIST.SP.800-100" TargetMode="External"/><Relationship Id="rId89" Type="http://schemas.openxmlformats.org/officeDocument/2006/relationships/hyperlink" Target="https://doi.org/10.1016/j.cose.2020.102030" TargetMode="External"/><Relationship Id="rId90" Type="http://schemas.openxmlformats.org/officeDocument/2006/relationships/hyperlink" Target="https://doi.org/10.1007/s10796-022-10246-9" TargetMode="External"/><Relationship Id="rId91" Type="http://schemas.openxmlformats.org/officeDocument/2006/relationships/hyperlink" Target="https://doi.org/10.3390/su151914574" TargetMode="External"/><Relationship Id="rId92" Type="http://schemas.openxmlformats.org/officeDocument/2006/relationships/hyperlink" Target="https://doi.org/10.30880/ijie.2022.14.03.017" TargetMode="External"/><Relationship Id="rId93" Type="http://schemas.openxmlformats.org/officeDocument/2006/relationships/hyperlink" Target="https://doi.org/10.5281/zenodo.19553772" TargetMode="External"/><Relationship Id="rId94" Type="http://schemas.openxmlformats.org/officeDocument/2006/relationships/hyperlink" Target="https://doi.org/10.1080/07366980701394229" TargetMode="External"/><Relationship Id="rId95" Type="http://schemas.openxmlformats.org/officeDocument/2006/relationships/hyperlink" Target="https://doi.org/10.1108/09685221011079180" TargetMode="External"/><Relationship Id="rId96" Type="http://schemas.openxmlformats.org/officeDocument/2006/relationships/hyperlink" Target="https://doi.org/10.1108/09685221011079180" TargetMode="External"/><Relationship Id="rId97" Type="http://schemas.openxmlformats.org/officeDocument/2006/relationships/hyperlink" Target="https://doi.org/10.1108/09685221011079180" TargetMode="External"/><Relationship Id="rId98" Type="http://schemas.openxmlformats.org/officeDocument/2006/relationships/hyperlink" Target="https://doi.org/10.1016/j.cose.2025.104624" TargetMode="External"/><Relationship Id="rId99" Type="http://schemas.openxmlformats.org/officeDocument/2006/relationships/hyperlink" Target="https://doi.org/10.1016/j.ijinfomgt.2019.09.002" TargetMode="External"/><Relationship Id="rId100" Type="http://schemas.openxmlformats.org/officeDocument/2006/relationships/hyperlink" Target="https://doi.org/10.1016/j.ijmedinf.2021.104610" TargetMode="External"/><Relationship Id="rId101" Type="http://schemas.openxmlformats.org/officeDocument/2006/relationships/hyperlink" Target="https://doi.org/10.1016/j.gfs.2012.10.006" TargetMode="External"/><Relationship Id="rId102" Type="http://schemas.openxmlformats.org/officeDocument/2006/relationships/hyperlink" Target="https://doi.org/10.1016/j.gfs.2012.10.006" TargetMode="External"/><Relationship Id="rId103" Type="http://schemas.openxmlformats.org/officeDocument/2006/relationships/hyperlink" Target="https://doi.org/10.1016/j.gfs.2017.06.003" TargetMode="External"/><Relationship Id="rId104" Type="http://schemas.openxmlformats.org/officeDocument/2006/relationships/hyperlink" Target="https://doi.org/10.1016/j.gfs.2017.07.001" TargetMode="External"/><Relationship Id="rId105" Type="http://schemas.openxmlformats.org/officeDocument/2006/relationships/hyperlink" Target="https://doi.org/10.1016/j.jjcc.2010.11.001" TargetMode="External"/><Relationship Id="rId106" Type="http://schemas.openxmlformats.org/officeDocument/2006/relationships/hyperlink" Target="https://doi.org/10.1016/j.procs.2019.09.459" TargetMode="External"/><Relationship Id="rId107" Type="http://schemas.openxmlformats.org/officeDocument/2006/relationships/hyperlink" Target="https://doi.org/10.1108/14637151211225225" TargetMode="External"/><Relationship Id="rId108" Type="http://schemas.openxmlformats.org/officeDocument/2006/relationships/hyperlink" Target="https://doi.org/10.5121/ijcnc.2023.15205" TargetMode="External"/><Relationship Id="rId109" Type="http://schemas.openxmlformats.org/officeDocument/2006/relationships/hyperlink" Target="https://doi.org/10.1145/1655168.1655170" TargetMode="External"/><Relationship Id="rId110" Type="http://schemas.openxmlformats.org/officeDocument/2006/relationships/hyperlink" Target="https://doi.org/10.21511/ppm.17(1).2019.23" TargetMode="External"/><Relationship Id="rId111" Type="http://schemas.openxmlformats.org/officeDocument/2006/relationships/hyperlink" Target="https://doi.org/10.1007/978-3-642-39218-4_19" TargetMode="External"/><Relationship Id="rId112" Type="http://schemas.openxmlformats.org/officeDocument/2006/relationships/hyperlink" Target="https://doi.org/10.51594/csitrj.v6i11.2164" TargetMode="External"/><Relationship Id="rId113" Type="http://schemas.openxmlformats.org/officeDocument/2006/relationships/hyperlink" Target="https://doi.org/10.1145/3418172" TargetMode="External"/><Relationship Id="rId114" Type="http://schemas.openxmlformats.org/officeDocument/2006/relationships/hyperlink" Target="https://doi.org/10.1145/3774761.3774773" TargetMode="External"/><Relationship Id="rId115" Type="http://schemas.openxmlformats.org/officeDocument/2006/relationships/hyperlink" Target="https://doi.org/10.22364/bjmc.2017.5.1.07" TargetMode="External"/><Relationship Id="rId116" Type="http://schemas.openxmlformats.org/officeDocument/2006/relationships/hyperlink" Target="https://doi.org/10.20396/rdbci.v19i00.8665529" TargetMode="External"/><Relationship Id="rId117" Type="http://schemas.openxmlformats.org/officeDocument/2006/relationships/hyperlink" Target="https://doi.org/10.5220/0006303102950301" TargetMode="External"/><Relationship Id="rId118" Type="http://schemas.openxmlformats.org/officeDocument/2006/relationships/hyperlink" Target="https://doi.org/10.1016/j.cose.2004.10.006" TargetMode="External"/><Relationship Id="rId119" Type="http://schemas.openxmlformats.org/officeDocument/2006/relationships/hyperlink" Target="https://doi.org/10.1016/j.rineng.2025.108557" TargetMode="External"/><Relationship Id="rId120" Type="http://schemas.openxmlformats.org/officeDocument/2006/relationships/hyperlink" Target="https://doi.org/10.69849/revistaft/pa10202501192208" TargetMode="External"/><Relationship Id="rId121" Type="http://schemas.openxmlformats.org/officeDocument/2006/relationships/hyperlink" Target="https://doi.org/10.1016/j.jisa.2020.102614" TargetMode="External"/><Relationship Id="rId122" Type="http://schemas.openxmlformats.org/officeDocument/2006/relationships/hyperlink" Target="https://doi.org/10.1016/j.jisa.2020.102614" TargetMode="External"/><Relationship Id="rId123" Type="http://schemas.openxmlformats.org/officeDocument/2006/relationships/hyperlink" Target="https://doi.org/10.1016/j.cose.2026.104957" TargetMode="External"/><Relationship Id="rId124" Type="http://schemas.openxmlformats.org/officeDocument/2006/relationships/hyperlink" Target="https://doi.org/10.1142/S1363919622400126" TargetMode="External"/><Relationship Id="rId125" Type="http://schemas.openxmlformats.org/officeDocument/2006/relationships/hyperlink" Target="https://doi.org/10.3390/bdcc10040129" TargetMode="External"/><Relationship Id="rId126" Type="http://schemas.openxmlformats.org/officeDocument/2006/relationships/hyperlink" Target="https://doi.org/10.1037/0021-9010.88.5.879" TargetMode="External"/><Relationship Id="rId127" Type="http://schemas.openxmlformats.org/officeDocument/2006/relationships/hyperlink" Target="https://doi.org/10.1108/ICS-08-2021-0112" TargetMode="External"/><Relationship Id="rId128" Type="http://schemas.openxmlformats.org/officeDocument/2006/relationships/hyperlink" Target="https://doi.org/10.1016/j.im.2022.103751" TargetMode="External"/><Relationship Id="rId129" Type="http://schemas.openxmlformats.org/officeDocument/2006/relationships/hyperlink" Target="https://doi.org/10.51594/csitrj.v6i11.2164" TargetMode="External"/><Relationship Id="rId130" Type="http://schemas.openxmlformats.org/officeDocument/2006/relationships/hyperlink" Target="https://doi.org/10.1109/ISTAFRICA.2016.7530578" TargetMode="External"/><Relationship Id="rId131" Type="http://schemas.openxmlformats.org/officeDocument/2006/relationships/hyperlink" Target="https://doi.org/10.2753/MIS0742-1222240302" TargetMode="External"/><Relationship Id="rId132" Type="http://schemas.openxmlformats.org/officeDocument/2006/relationships/hyperlink" Target="https://doi.org/10.1111/j.1540-5915.2012.00361.x" TargetMode="External"/><Relationship Id="rId133" Type="http://schemas.openxmlformats.org/officeDocument/2006/relationships/hyperlink" Target="https://doi.org/10.15672/HJMS.2018.641" TargetMode="External"/><Relationship Id="rId134" Type="http://schemas.openxmlformats.org/officeDocument/2006/relationships/hyperlink" Target="https://doi.org/10.1016/j.ijcip.2025.100805" TargetMode="External"/><Relationship Id="rId135" Type="http://schemas.openxmlformats.org/officeDocument/2006/relationships/hyperlink" Target="https://doi.org/10.3316/QRJ0902027" TargetMode="External"/><Relationship Id="rId136" Type="http://schemas.openxmlformats.org/officeDocument/2006/relationships/hyperlink" Target="https://doi.org/10.1108/EBR-11-2018-0203" TargetMode="External"/><Relationship Id="rId137" Type="http://schemas.openxmlformats.org/officeDocument/2006/relationships/hyperlink" Target="https://doi.org/10.5281/zenodo.7555947" TargetMode="External"/><Relationship Id="rId138" Type="http://schemas.openxmlformats.org/officeDocument/2006/relationships/hyperlink" Target="https://doi.org/10.2478/v10143-009-0014-x" TargetMode="External"/><Relationship Id="rId139" Type="http://schemas.openxmlformats.org/officeDocument/2006/relationships/hyperlink" Target="https://doi.org/10.1016/j.cose.2020.102030" TargetMode="External"/><Relationship Id="rId140" Type="http://schemas.openxmlformats.org/officeDocument/2006/relationships/hyperlink" Target="https://doi.org/10.1145/1655168.1655170" TargetMode="External"/><Relationship Id="rId141" Type="http://schemas.openxmlformats.org/officeDocument/2006/relationships/hyperlink" Target="https://doi.org/10.1016/j.cose.2016.02.007" TargetMode="External"/><Relationship Id="rId142" Type="http://schemas.openxmlformats.org/officeDocument/2006/relationships/hyperlink" Target="https://doi.org/10.1109/ICCET.2009.218" TargetMode="External"/><Relationship Id="rId143" Type="http://schemas.openxmlformats.org/officeDocument/2006/relationships/hyperlink" Target="https://doi.org/10.1109/ACOSIS.2016.7843921" TargetMode="External"/><Relationship Id="rId144" Type="http://schemas.openxmlformats.org/officeDocument/2006/relationships/hyperlink" Target="https://doi.org/10.1016/j.cose.2019.101594" TargetMode="External"/><Relationship Id="rId145" Type="http://schemas.openxmlformats.org/officeDocument/2006/relationships/hyperlink" Target="https://doi.org/10.21714/2236-417X2018v8n3p90" TargetMode="External"/><Relationship Id="rId146" Type="http://schemas.openxmlformats.org/officeDocument/2006/relationships/hyperlink" Target="https://doi.org/10.1109/ICT4DA53266.2021.9672221" TargetMode="External"/><Relationship Id="rId147" Type="http://schemas.openxmlformats.org/officeDocument/2006/relationships/hyperlink" Target="https://doi.org/10.4225/75/57b4040530dec" TargetMode="External"/><Relationship Id="rId148" Type="http://schemas.openxmlformats.org/officeDocument/2006/relationships/hyperlink" Target="https://doi.org/10.1371/journal.pone.0163050" TargetMode="External"/><Relationship Id="rId149" Type="http://schemas.openxmlformats.org/officeDocument/2006/relationships/hyperlink" Target="https://doi.org/10.1109/ISTAS.2015.7439415" TargetMode="External"/><Relationship Id="rId150" Type="http://schemas.openxmlformats.org/officeDocument/2006/relationships/hyperlink" Target="https://doi.org/10.1109/ISTAS.2015.7439415" TargetMode="External"/><Relationship Id="rId151" Type="http://schemas.openxmlformats.org/officeDocument/2006/relationships/hyperlink" Target="https://doi.org/10.1108/ICS-07-2016-0061" TargetMode="External"/><Relationship Id="rId152" Type="http://schemas.openxmlformats.org/officeDocument/2006/relationships/hyperlink" Target="https://doi.org/10.6028/NIST.CSWP.29" TargetMode="External"/><Relationship Id="rId153" Type="http://schemas.openxmlformats.org/officeDocument/2006/relationships/hyperlink" Target="https://doi.org/10.6028/NIST.AI.100-2e2025" TargetMode="External"/><Relationship Id="rId154" Type="http://schemas.openxmlformats.org/officeDocument/2006/relationships/hyperlink" Target="https://doi.org/10.6028/NIST.IR.7298r3" TargetMode="External"/><Relationship Id="rId155" Type="http://schemas.openxmlformats.org/officeDocument/2006/relationships/hyperlink" Target="https://doi.org/10.20396/rdbci.v22i00.8675749" TargetMode="External"/><Relationship Id="rId156" Type="http://schemas.openxmlformats.org/officeDocument/2006/relationships/hyperlink" Target="https://doi.org/10.1016/j.cose.2024.103852" TargetMode="External"/><Relationship Id="rId157" Type="http://schemas.openxmlformats.org/officeDocument/2006/relationships/hyperlink" Target="https://doi.org/10.1109/TrustCom/BigDataSE.2018.00276" TargetMode="External"/><Relationship Id="rId158" Type="http://schemas.openxmlformats.org/officeDocument/2006/relationships/hyperlink" Target="https://doi.org/10.1016/j.cose.2022.102774" TargetMode="External"/><Relationship Id="rId159" Type="http://schemas.openxmlformats.org/officeDocument/2006/relationships/hyperlink" Target="https://doi.org/10.1108/ICS-02-2014-0016" TargetMode="External"/><Relationship Id="rId160" Type="http://schemas.openxmlformats.org/officeDocument/2006/relationships/hyperlink" Target="https://doi.org/10.1016/j.cose.2022.102903" TargetMode="External"/><Relationship Id="rId161" Type="http://schemas.openxmlformats.org/officeDocument/2006/relationships/hyperlink" Target="https://doi.org/10.1080/10580530.2019.1651113" TargetMode="External"/><Relationship Id="rId162" Type="http://schemas.openxmlformats.org/officeDocument/2006/relationships/hyperlink" Target="https://doi.org/10.1177/1555343415575152" TargetMode="External"/><Relationship Id="rId163" Type="http://schemas.openxmlformats.org/officeDocument/2006/relationships/hyperlink" Target="https://doi.org/10.1007/s10799-015-0252-2" TargetMode="External"/><Relationship Id="rId164" Type="http://schemas.openxmlformats.org/officeDocument/2006/relationships/hyperlink" Target="https://doi.org/10.65025/ICAIC25019n" TargetMode="External"/><Relationship Id="rId165" Type="http://schemas.openxmlformats.org/officeDocument/2006/relationships/hyperlink" Target="https://doi.org/10.1016/j.cose.2023.103591" TargetMode="External"/><Relationship Id="rId166" Type="http://schemas.openxmlformats.org/officeDocument/2006/relationships/hyperlink" Target="https://doi.org/10.17705/1PAIS.10403" TargetMode="External"/><Relationship Id="rId167" Type="http://schemas.openxmlformats.org/officeDocument/2006/relationships/hyperlink" Target="https://doi.org/10.21203/rs.3.rs-7474776/v1" TargetMode="External"/><Relationship Id="rId168" Type="http://schemas.openxmlformats.org/officeDocument/2006/relationships/hyperlink" Target="https://doi.org/10.1016/j.ijinfomgt.2018.07.013" TargetMode="External"/><Relationship Id="rId169" Type="http://schemas.openxmlformats.org/officeDocument/2006/relationships/hyperlink" Target="https://doi.org/10.63680/ijsate1225001.003" TargetMode="External"/><Relationship Id="rId170" Type="http://schemas.openxmlformats.org/officeDocument/2006/relationships/hyperlink" Target="https://doi.org/10.12732/ijam.v38i10s.1139" TargetMode="External"/><Relationship Id="rId171" Type="http://schemas.openxmlformats.org/officeDocument/2006/relationships/hyperlink" Target="https://doi.org/10.63125/4qpdpf28" TargetMode="External"/><Relationship Id="rId172" Type="http://schemas.openxmlformats.org/officeDocument/2006/relationships/hyperlink" Target="https://doi.org/10.1002/widm.70013" TargetMode="External"/><Relationship Id="rId173" Type="http://schemas.openxmlformats.org/officeDocument/2006/relationships/hyperlink" Target="https://doi.org/10.1590/2318-0331.312620250160" TargetMode="External"/><Relationship Id="rId174" Type="http://schemas.openxmlformats.org/officeDocument/2006/relationships/hyperlink" Target="https://doi.org/10.1590/2318-0331.312620250160" TargetMode="External"/><Relationship Id="rId175" Type="http://schemas.openxmlformats.org/officeDocument/2006/relationships/hyperlink" Target="https://doi.org/10.1080/0960085X.2024.2345867" TargetMode="External"/><Relationship Id="rId176" Type="http://schemas.openxmlformats.org/officeDocument/2006/relationships/hyperlink" Target="https://doi.org/10.1108/ICS-02-2019-0033" TargetMode="External"/><Relationship Id="rId177" Type="http://schemas.openxmlformats.org/officeDocument/2006/relationships/hyperlink" Target="https://doi.org/10.4301/S1807-17752015000100005" TargetMode="External"/><Relationship Id="rId178" Type="http://schemas.openxmlformats.org/officeDocument/2006/relationships/hyperlink" Target="https://doi.org/10.1177/21582440251399038" TargetMode="External"/><Relationship Id="rId179" Type="http://schemas.openxmlformats.org/officeDocument/2006/relationships/hyperlink" Target="https://doi.org/10.1177/21582440251399038" TargetMode="External"/><Relationship Id="rId180" Type="http://schemas.openxmlformats.org/officeDocument/2006/relationships/hyperlink" Target="https://doi.org/10.1109/ICSIoT47925.2019.00015" TargetMode="External"/><Relationship Id="rId181" Type="http://schemas.openxmlformats.org/officeDocument/2006/relationships/hyperlink" Target="https://doi.org/10.1016/j.cose.2020.102030" TargetMode="External"/><Relationship Id="rId182" Type="http://schemas.openxmlformats.org/officeDocument/2006/relationships/hyperlink" Target="https://doi.org/10.21776/ub.jam.2023.021.1.06" TargetMode="External"/><Relationship Id="rId183" Type="http://schemas.openxmlformats.org/officeDocument/2006/relationships/hyperlink" Target="https://doi.org/10.1080/19393555.2021.1922786" TargetMode="External"/><Relationship Id="rId184" Type="http://schemas.openxmlformats.org/officeDocument/2006/relationships/hyperlink" Target="https://doi.org/10.3390/app122111174" TargetMode="External"/><Relationship Id="rId185" Type="http://schemas.openxmlformats.org/officeDocument/2006/relationships/hyperlink" Target="https://doi.org/10.1061/(ASCE)1076-0342(2008)14:3(169)" TargetMode="External"/><Relationship Id="rId186" Type="http://schemas.openxmlformats.org/officeDocument/2006/relationships/hyperlink" Target="https://doi.org/10.1590/1982-7849rac2023230005.por" TargetMode="External"/><Relationship Id="rId187" Type="http://schemas.openxmlformats.org/officeDocument/2006/relationships/hyperlink" Target="https://doi.org/10.3390/educsci14060588" TargetMode="External"/><Relationship Id="rId188" Type="http://schemas.openxmlformats.org/officeDocument/2006/relationships/hyperlink" Target="https://doi.org/10.3390/educsci15020142" TargetMode="External"/><Relationship Id="rId189" Type="http://schemas.openxmlformats.org/officeDocument/2006/relationships/hyperlink" Target="https://doi.org/10.3390/foods13142272" TargetMode="External"/><Relationship Id="rId190" Type="http://schemas.openxmlformats.org/officeDocument/2006/relationships/hyperlink" Target="https://doi.org/10.3389/fsufs.2026.1726650" TargetMode="External"/><Relationship Id="rId191" Type="http://schemas.openxmlformats.org/officeDocument/2006/relationships/hyperlink" Target="https://doi.org/10.3390/fi17090384" TargetMode="External"/><Relationship Id="rId192" Type="http://schemas.openxmlformats.org/officeDocument/2006/relationships/hyperlink" Target="https://doi.org/10.1017/S0260210515000352" TargetMode="External"/><Relationship Id="rId193" Type="http://schemas.openxmlformats.org/officeDocument/2006/relationships/hyperlink" Target="https://doi.org/10.4028/www.scientific.net/AMM.278-280.2199" TargetMode="External"/><Relationship Id="rId194" Type="http://schemas.openxmlformats.org/officeDocument/2006/relationships/hyperlink" Target="https://doi.org/10.1108/ICS-02-2019-0033" TargetMode="External"/><Relationship Id="rId195" Type="http://schemas.openxmlformats.org/officeDocument/2006/relationships/hyperlink" Target="https://doi.org/10.1108/ICS-08-2021-0112" TargetMode="External"/><Relationship Id="rId196" Type="http://schemas.openxmlformats.org/officeDocument/2006/relationships/hyperlink" Target="https://doi.org/10.1108/IMDS-02-2025-0203" TargetMode="External"/><Relationship Id="rId197" Type="http://schemas.openxmlformats.org/officeDocument/2006/relationships/hyperlink" Target="https://doi.org/10.1016/j.infsof.2014.10.003" TargetMode="External"/><Relationship Id="rId198" Type="http://schemas.openxmlformats.org/officeDocument/2006/relationships/hyperlink" Target="https://doi.org/10.1016/j.infsof.2014.10.003" TargetMode="External"/><Relationship Id="rId199" Type="http://schemas.openxmlformats.org/officeDocument/2006/relationships/hyperlink" Target="https://doi.org/10.3390/jcp3030017" TargetMode="External"/><Relationship Id="rId200" Type="http://schemas.openxmlformats.org/officeDocument/2006/relationships/hyperlink" Target="https://doi.org/10.3390/jcp6020067" TargetMode="External"/><Relationship Id="rId201" Type="http://schemas.openxmlformats.org/officeDocument/2006/relationships/hyperlink" Target="https://doi.org/10.3390/su12062481" TargetMode="External"/><Relationship Id="rId202" Type="http://schemas.openxmlformats.org/officeDocument/2006/relationships/hyperlink" Target="https://doi.org/10.3390/su12062481" TargetMode="External"/><Relationship Id="rId203" Type="http://schemas.openxmlformats.org/officeDocument/2006/relationships/hyperlink" Target="https://doi.org/10.1186/s13023-017-0603-7" TargetMode="External"/><Relationship Id="rId204" Type="http://schemas.openxmlformats.org/officeDocument/2006/relationships/hyperlink" Target="https://doi.org/10.1007/978-3-319-76354-5_20" TargetMode="External"/><Relationship Id="rId205" Type="http://schemas.openxmlformats.org/officeDocument/2006/relationships/hyperlink" Target="https://doi.org/10.3390/math14091425" TargetMode="External"/><Relationship Id="rId206" Type="http://schemas.openxmlformats.org/officeDocument/2006/relationships/hyperlink" Target="https://doi.org/10.3390/math14091425" TargetMode="External"/><Relationship Id="rId207" Type="http://schemas.openxmlformats.org/officeDocument/2006/relationships/hyperlink" Target="https://doi.org/10.1080/09662839.2013.856308" TargetMode="External"/><Relationship Id="rId208" Type="http://schemas.openxmlformats.org/officeDocument/2006/relationships/hyperlink" Target="https://doi.org/10.2753/MTP1069-6679190202" TargetMode="External"/><Relationship Id="rId209" Type="http://schemas.openxmlformats.org/officeDocument/2006/relationships/hyperlink" Target="https://doi.org/10.1080/19393555.2021.1922786" TargetMode="External"/><Relationship Id="rId210" Type="http://schemas.openxmlformats.org/officeDocument/2006/relationships/hyperlink" Target="https://doi.org/10.1109/ICIM49319.2020.244699" TargetMode="External"/><Relationship Id="rId211" Type="http://schemas.openxmlformats.org/officeDocument/2006/relationships/hyperlink" Target="https://doi.org/10.1016/j.cose.2020.102030" TargetMode="External"/><Relationship Id="rId212" Type="http://schemas.openxmlformats.org/officeDocument/2006/relationships/hyperlink" Target="https://doi.org/10.17705/1CAIS.02927" TargetMode="External"/><Relationship Id="rId213" Type="http://schemas.openxmlformats.org/officeDocument/2006/relationships/hyperlink" Target="https://doi.org/10.1007/s00267-022-01606-x" TargetMode="External"/><Relationship Id="rId214" Type="http://schemas.openxmlformats.org/officeDocument/2006/relationships/hyperlink" Target="https://doi.org/10.1007/s10207-025-01097-x" TargetMode="External"/><Relationship Id="rId215" Type="http://schemas.openxmlformats.org/officeDocument/2006/relationships/hyperlink" Target="https://doi.org/10.1007/s10668-024-04472-1" TargetMode="External"/><Relationship Id="rId216" Type="http://schemas.openxmlformats.org/officeDocument/2006/relationships/hyperlink" Target="https://doi.org/10.1007/s10668-024-04472-1" TargetMode="External"/><Relationship Id="rId217" Type="http://schemas.openxmlformats.org/officeDocument/2006/relationships/hyperlink" Target="https://doi.org/10.1007/s10796-022-10246-9" TargetMode="External"/><Relationship Id="rId218" Type="http://schemas.openxmlformats.org/officeDocument/2006/relationships/hyperlink" Target="https://doi.org/10.1007/s11747-014-0403-8" TargetMode="External"/><Relationship Id="rId219" Type="http://schemas.openxmlformats.org/officeDocument/2006/relationships/hyperlink" Target="https://doi.org/10.6008/CBPC2674-6417.2021.001.0001" TargetMode="External"/><Relationship Id="rId220" Type="http://schemas.openxmlformats.org/officeDocument/2006/relationships/hyperlink" Target="https://doi.org/10.1007/s10639-022-11088-3" TargetMode="External"/><Relationship Id="rId221" Type="http://schemas.openxmlformats.org/officeDocument/2006/relationships/hyperlink" Target="https://doi.org/10.3390/s25237384" TargetMode="External"/><Relationship Id="rId222" Type="http://schemas.openxmlformats.org/officeDocument/2006/relationships/hyperlink" Target="https://doi.org/10.1108/JEIM-08-2019-0217" TargetMode="External"/><Relationship Id="rId223" Type="http://schemas.openxmlformats.org/officeDocument/2006/relationships/hyperlink" Target="https://doi.org/10.3390/su151914574" TargetMode="External"/><Relationship Id="rId224" Type="http://schemas.openxmlformats.org/officeDocument/2006/relationships/hyperlink" Target="https://doi.org/10.3390/systems13010052" TargetMode="External"/><Relationship Id="rId225" Type="http://schemas.openxmlformats.org/officeDocument/2006/relationships/hyperlink" Target="https://doi.org/10.3141/2635-10" TargetMode="External"/><Relationship Id="rId226" Type="http://schemas.openxmlformats.org/officeDocument/2006/relationships/hyperlink" Target="https://doi.org/10.1038/s43016-022-00571-2" TargetMode="External"/><Relationship Id="rId227" Type="http://schemas.openxmlformats.org/officeDocument/2006/relationships/hyperlink" Target="https://doi.org/10.1016/j.cose.2021.102354" TargetMode="External"/><Relationship Id="rId228" Type="http://schemas.openxmlformats.org/officeDocument/2006/relationships/hyperlink" Target="https://doi.org/10.1093/cybsec/tyaf011" TargetMode="External"/><Relationship Id="rId229" Type="http://schemas.openxmlformats.org/officeDocument/2006/relationships/hyperlink" Target="https://doi.org/10.1108/ICS-08-2019-0095" TargetMode="External"/><Relationship Id="rId230" Type="http://schemas.openxmlformats.org/officeDocument/2006/relationships/hyperlink" Target="https://doi.org/10.3390/jcp1010007" TargetMode="External"/><Relationship Id="rId231" Type="http://schemas.openxmlformats.org/officeDocument/2006/relationships/table" Target="../tables/table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110"/>
  </cols>
  <sheetData>
    <row r="1" customFormat="false" ht="17.35" hidden="false" customHeight="false" outlineLevel="0" collapsed="false">
      <c r="A1" s="1" t="s">
        <v>0</v>
      </c>
    </row>
    <row r="3" customFormat="false" ht="23.85" hidden="false" customHeight="false" outlineLevel="0" collapsed="false">
      <c r="A3" s="2" t="s">
        <v>1</v>
      </c>
      <c r="B3" s="3" t="s">
        <v>2</v>
      </c>
    </row>
    <row r="4" customFormat="false" ht="35.05" hidden="false" customHeight="false" outlineLevel="0" collapsed="false">
      <c r="A4" s="2" t="s">
        <v>3</v>
      </c>
      <c r="B4" s="3" t="s">
        <v>4</v>
      </c>
    </row>
    <row r="5" customFormat="false" ht="23.85" hidden="false" customHeight="false" outlineLevel="0" collapsed="false">
      <c r="A5" s="2" t="s">
        <v>5</v>
      </c>
      <c r="B5" s="3" t="s">
        <v>6</v>
      </c>
    </row>
    <row r="6" customFormat="false" ht="15" hidden="false" customHeight="false" outlineLevel="0" collapsed="false">
      <c r="A6" s="2" t="s">
        <v>7</v>
      </c>
      <c r="B6" s="3" t="s">
        <v>8</v>
      </c>
    </row>
    <row r="7" customFormat="false" ht="23.85" hidden="false" customHeight="false" outlineLevel="0" collapsed="false">
      <c r="A7" s="2" t="s">
        <v>9</v>
      </c>
      <c r="B7" s="3" t="s">
        <v>10</v>
      </c>
    </row>
    <row r="8" customFormat="false" ht="35.05" hidden="false" customHeight="false" outlineLevel="0" collapsed="false">
      <c r="A8" s="2" t="s">
        <v>11</v>
      </c>
      <c r="B8" s="3" t="s">
        <v>12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 collapsed="false" customWidth="true" hidden="false" outlineLevel="0" max="2" min="2" style="0" width="10"/>
  </cols>
  <sheetData>
    <row r="1" customFormat="false" ht="16.15" hidden="false" customHeight="false" outlineLevel="0" collapsed="false">
      <c r="A1" s="4" t="s">
        <v>13</v>
      </c>
    </row>
    <row r="3" customFormat="false" ht="15" hidden="false" customHeight="false" outlineLevel="0" collapsed="false">
      <c r="A3" s="5" t="s">
        <v>14</v>
      </c>
      <c r="B3" s="5" t="s">
        <v>15</v>
      </c>
    </row>
    <row r="4" customFormat="false" ht="15" hidden="false" customHeight="false" outlineLevel="0" collapsed="false">
      <c r="A4" s="6" t="s">
        <v>16</v>
      </c>
      <c r="B4" s="7" t="n">
        <f aca="false">COUNTA(Records!A2:A360)</f>
        <v>359</v>
      </c>
    </row>
    <row r="5" customFormat="false" ht="15" hidden="false" customHeight="false" outlineLevel="0" collapsed="false">
      <c r="A5" s="6" t="s">
        <v>17</v>
      </c>
      <c r="B5" s="7" t="n">
        <f aca="false">COUNTIF(Records!B2:B360,"Excluded at preliminary screening")</f>
        <v>246</v>
      </c>
    </row>
    <row r="6" customFormat="false" ht="15" hidden="false" customHeight="false" outlineLevel="0" collapsed="false">
      <c r="A6" s="6" t="s">
        <v>18</v>
      </c>
      <c r="B6" s="7" t="n">
        <f aca="false">COUNTIF(Records!B2:B360,"Not retrieved")</f>
        <v>12</v>
      </c>
    </row>
    <row r="7" customFormat="false" ht="15" hidden="false" customHeight="false" outlineLevel="0" collapsed="false">
      <c r="A7" s="6" t="s">
        <v>19</v>
      </c>
      <c r="B7" s="7" t="n">
        <f aca="false">B4-B5-B6</f>
        <v>101</v>
      </c>
    </row>
    <row r="8" customFormat="false" ht="15" hidden="false" customHeight="false" outlineLevel="0" collapsed="false">
      <c r="A8" s="8" t="s">
        <v>20</v>
      </c>
      <c r="B8" s="9" t="n">
        <f aca="false">COUNTIF(Records!D2:D360,"Web of Science")</f>
        <v>45</v>
      </c>
    </row>
    <row r="9" customFormat="false" ht="15" hidden="false" customHeight="false" outlineLevel="0" collapsed="false">
      <c r="A9" s="8" t="s">
        <v>21</v>
      </c>
      <c r="B9" s="9" t="n">
        <f aca="false">COUNTIF(Records!D2:D360,"Google Scholar")</f>
        <v>34</v>
      </c>
    </row>
    <row r="10" customFormat="false" ht="15" hidden="false" customHeight="false" outlineLevel="0" collapsed="false">
      <c r="A10" s="8" t="s">
        <v>22</v>
      </c>
      <c r="B10" s="9" t="n">
        <f aca="false">COUNTIFS(Records!D2:D360,"Local collection",Records!B2:B360,"&lt;&gt;Excluded at preliminary screening")</f>
        <v>22</v>
      </c>
    </row>
    <row r="11" customFormat="false" ht="15" hidden="false" customHeight="false" outlineLevel="0" collapsed="false">
      <c r="A11" s="6" t="s">
        <v>23</v>
      </c>
      <c r="B11" s="7" t="n">
        <f aca="false">COUNTIF(Records!B2:B360,"Duplicate removed")</f>
        <v>25</v>
      </c>
    </row>
    <row r="12" customFormat="false" ht="15" hidden="false" customHeight="false" outlineLevel="0" collapsed="false">
      <c r="A12" s="6" t="s">
        <v>24</v>
      </c>
      <c r="B12" s="7" t="n">
        <f aca="false">B7-B11</f>
        <v>76</v>
      </c>
    </row>
    <row r="13" customFormat="false" ht="15" hidden="false" customHeight="false" outlineLevel="0" collapsed="false">
      <c r="A13" s="6" t="s">
        <v>25</v>
      </c>
      <c r="B13" s="7" t="n">
        <f aca="false">COUNTIF(Records!B2:B360,"Excluded at title/abstract screening")</f>
        <v>36</v>
      </c>
    </row>
    <row r="14" customFormat="false" ht="15" hidden="false" customHeight="false" outlineLevel="0" collapsed="false">
      <c r="A14" s="6" t="s">
        <v>26</v>
      </c>
      <c r="B14" s="7" t="n">
        <f aca="false">B12-B13</f>
        <v>40</v>
      </c>
    </row>
    <row r="15" customFormat="false" ht="15" hidden="false" customHeight="false" outlineLevel="0" collapsed="false">
      <c r="A15" s="6" t="s">
        <v>27</v>
      </c>
      <c r="B15" s="7" t="n">
        <f aca="false">COUNTIF(Records!B2:B360,"Excluded at full-text assessment")</f>
        <v>3</v>
      </c>
    </row>
    <row r="16" customFormat="false" ht="15" hidden="false" customHeight="false" outlineLevel="0" collapsed="false">
      <c r="A16" s="6" t="s">
        <v>28</v>
      </c>
      <c r="B16" s="7" t="n">
        <f aca="false">COUNTIF(Records!B2:B360,"Included")</f>
        <v>37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36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8"/>
    <col collapsed="false" customWidth="true" hidden="false" outlineLevel="0" max="2" min="2" style="0" width="24"/>
    <col collapsed="false" customWidth="true" hidden="false" outlineLevel="0" max="3" min="3" style="0" width="52"/>
    <col collapsed="false" customWidth="true" hidden="false" outlineLevel="0" max="4" min="4" style="0" width="18"/>
    <col collapsed="false" customWidth="true" hidden="false" outlineLevel="0" max="5" min="5" style="0" width="9"/>
    <col collapsed="false" customWidth="true" hidden="false" outlineLevel="0" max="6" min="6" style="0" width="11"/>
    <col collapsed="false" customWidth="true" hidden="false" outlineLevel="0" max="7" min="7" style="0" width="32"/>
    <col collapsed="false" customWidth="true" hidden="false" outlineLevel="0" max="8" min="8" style="0" width="7"/>
    <col collapsed="false" customWidth="true" hidden="false" outlineLevel="0" max="9" min="9" style="0" width="56"/>
    <col collapsed="false" customWidth="true" hidden="false" outlineLevel="0" max="10" min="10" style="0" width="34"/>
    <col collapsed="false" customWidth="true" hidden="false" outlineLevel="0" max="11" min="11" style="0" width="22"/>
    <col collapsed="false" customWidth="true" hidden="false" outlineLevel="0" max="12" min="12" style="0" width="36"/>
  </cols>
  <sheetData>
    <row r="1" customFormat="false" ht="33.75" hidden="false" customHeight="true" outlineLevel="0" collapsed="false">
      <c r="A1" s="10" t="s">
        <v>29</v>
      </c>
      <c r="B1" s="10" t="s">
        <v>30</v>
      </c>
      <c r="C1" s="10" t="s">
        <v>31</v>
      </c>
      <c r="D1" s="10" t="s">
        <v>32</v>
      </c>
      <c r="E1" s="10" t="s">
        <v>33</v>
      </c>
      <c r="F1" s="10" t="s">
        <v>34</v>
      </c>
      <c r="G1" s="10" t="s">
        <v>35</v>
      </c>
      <c r="H1" s="10" t="s">
        <v>36</v>
      </c>
      <c r="I1" s="10" t="s">
        <v>37</v>
      </c>
      <c r="J1" s="10" t="s">
        <v>38</v>
      </c>
      <c r="K1" s="10" t="s">
        <v>39</v>
      </c>
      <c r="L1" s="10" t="s">
        <v>40</v>
      </c>
    </row>
    <row r="2" customFormat="false" ht="22.35" hidden="false" customHeight="false" outlineLevel="0" collapsed="false">
      <c r="A2" s="11" t="n">
        <v>1</v>
      </c>
      <c r="B2" s="11" t="s">
        <v>25</v>
      </c>
      <c r="C2" s="11" t="s">
        <v>41</v>
      </c>
      <c r="D2" s="11" t="s">
        <v>42</v>
      </c>
      <c r="E2" s="11" t="s">
        <v>43</v>
      </c>
      <c r="F2" s="11"/>
      <c r="G2" s="11" t="s">
        <v>44</v>
      </c>
      <c r="H2" s="11" t="s">
        <v>45</v>
      </c>
      <c r="I2" s="11" t="s">
        <v>46</v>
      </c>
      <c r="J2" s="11" t="s">
        <v>47</v>
      </c>
      <c r="K2" s="11" t="s">
        <v>48</v>
      </c>
      <c r="L2" s="12" t="s">
        <v>49</v>
      </c>
    </row>
    <row r="3" customFormat="false" ht="22.35" hidden="false" customHeight="false" outlineLevel="0" collapsed="false">
      <c r="A3" s="11" t="n">
        <v>2</v>
      </c>
      <c r="B3" s="11" t="s">
        <v>50</v>
      </c>
      <c r="C3" s="11" t="s">
        <v>51</v>
      </c>
      <c r="D3" s="11" t="s">
        <v>42</v>
      </c>
      <c r="E3" s="11" t="s">
        <v>52</v>
      </c>
      <c r="F3" s="11" t="s">
        <v>52</v>
      </c>
      <c r="G3" s="11" t="s">
        <v>53</v>
      </c>
      <c r="H3" s="11" t="s">
        <v>54</v>
      </c>
      <c r="I3" s="11" t="s">
        <v>55</v>
      </c>
      <c r="J3" s="11" t="s">
        <v>56</v>
      </c>
      <c r="K3" s="11" t="s">
        <v>48</v>
      </c>
      <c r="L3" s="12" t="s">
        <v>57</v>
      </c>
    </row>
    <row r="4" customFormat="false" ht="22.35" hidden="false" customHeight="false" outlineLevel="0" collapsed="false">
      <c r="A4" s="11" t="n">
        <v>3</v>
      </c>
      <c r="B4" s="11" t="s">
        <v>25</v>
      </c>
      <c r="C4" s="11" t="s">
        <v>41</v>
      </c>
      <c r="D4" s="11" t="s">
        <v>42</v>
      </c>
      <c r="E4" s="11" t="s">
        <v>52</v>
      </c>
      <c r="F4" s="11"/>
      <c r="G4" s="11" t="s">
        <v>53</v>
      </c>
      <c r="H4" s="11" t="s">
        <v>54</v>
      </c>
      <c r="I4" s="11" t="s">
        <v>55</v>
      </c>
      <c r="J4" s="11" t="s">
        <v>56</v>
      </c>
      <c r="K4" s="11" t="s">
        <v>48</v>
      </c>
      <c r="L4" s="12" t="s">
        <v>57</v>
      </c>
    </row>
    <row r="5" customFormat="false" ht="22.35" hidden="false" customHeight="false" outlineLevel="0" collapsed="false">
      <c r="A5" s="11" t="n">
        <v>4</v>
      </c>
      <c r="B5" s="11" t="s">
        <v>25</v>
      </c>
      <c r="C5" s="11" t="s">
        <v>41</v>
      </c>
      <c r="D5" s="11" t="s">
        <v>42</v>
      </c>
      <c r="E5" s="11" t="s">
        <v>58</v>
      </c>
      <c r="F5" s="11"/>
      <c r="G5" s="11" t="s">
        <v>59</v>
      </c>
      <c r="H5" s="11" t="s">
        <v>60</v>
      </c>
      <c r="I5" s="11" t="s">
        <v>61</v>
      </c>
      <c r="J5" s="11" t="s">
        <v>56</v>
      </c>
      <c r="K5" s="11" t="s">
        <v>48</v>
      </c>
      <c r="L5" s="12" t="s">
        <v>62</v>
      </c>
    </row>
    <row r="6" customFormat="false" ht="22.35" hidden="false" customHeight="false" outlineLevel="0" collapsed="false">
      <c r="A6" s="11" t="n">
        <v>5</v>
      </c>
      <c r="B6" s="11" t="s">
        <v>25</v>
      </c>
      <c r="C6" s="11" t="s">
        <v>41</v>
      </c>
      <c r="D6" s="11" t="s">
        <v>42</v>
      </c>
      <c r="E6" s="11" t="s">
        <v>63</v>
      </c>
      <c r="F6" s="11"/>
      <c r="G6" s="11" t="s">
        <v>64</v>
      </c>
      <c r="H6" s="11" t="s">
        <v>60</v>
      </c>
      <c r="I6" s="11" t="s">
        <v>65</v>
      </c>
      <c r="J6" s="11" t="s">
        <v>56</v>
      </c>
      <c r="K6" s="11" t="s">
        <v>48</v>
      </c>
      <c r="L6" s="12" t="s">
        <v>66</v>
      </c>
    </row>
    <row r="7" customFormat="false" ht="22.35" hidden="false" customHeight="false" outlineLevel="0" collapsed="false">
      <c r="A7" s="11" t="n">
        <v>6</v>
      </c>
      <c r="B7" s="11" t="s">
        <v>25</v>
      </c>
      <c r="C7" s="11" t="s">
        <v>41</v>
      </c>
      <c r="D7" s="11" t="s">
        <v>42</v>
      </c>
      <c r="E7" s="11" t="s">
        <v>67</v>
      </c>
      <c r="F7" s="11"/>
      <c r="G7" s="11" t="s">
        <v>68</v>
      </c>
      <c r="H7" s="11" t="s">
        <v>69</v>
      </c>
      <c r="I7" s="11" t="s">
        <v>70</v>
      </c>
      <c r="J7" s="11" t="s">
        <v>71</v>
      </c>
      <c r="K7" s="11" t="s">
        <v>48</v>
      </c>
      <c r="L7" s="12" t="s">
        <v>72</v>
      </c>
    </row>
    <row r="8" customFormat="false" ht="22.35" hidden="false" customHeight="false" outlineLevel="0" collapsed="false">
      <c r="A8" s="11" t="n">
        <v>7</v>
      </c>
      <c r="B8" s="11" t="s">
        <v>73</v>
      </c>
      <c r="C8" s="11" t="s">
        <v>74</v>
      </c>
      <c r="D8" s="11" t="s">
        <v>42</v>
      </c>
      <c r="E8" s="11" t="s">
        <v>75</v>
      </c>
      <c r="F8" s="11"/>
      <c r="G8" s="11" t="s">
        <v>76</v>
      </c>
      <c r="H8" s="11" t="s">
        <v>77</v>
      </c>
      <c r="I8" s="11" t="s">
        <v>78</v>
      </c>
      <c r="J8" s="11" t="s">
        <v>79</v>
      </c>
      <c r="K8" s="11" t="s">
        <v>80</v>
      </c>
      <c r="L8" s="12" t="s">
        <v>81</v>
      </c>
    </row>
    <row r="9" customFormat="false" ht="22.35" hidden="false" customHeight="false" outlineLevel="0" collapsed="false">
      <c r="A9" s="11" t="n">
        <v>8</v>
      </c>
      <c r="B9" s="11" t="s">
        <v>73</v>
      </c>
      <c r="C9" s="11" t="s">
        <v>74</v>
      </c>
      <c r="D9" s="11" t="s">
        <v>42</v>
      </c>
      <c r="E9" s="11" t="s">
        <v>82</v>
      </c>
      <c r="F9" s="11"/>
      <c r="G9" s="11" t="s">
        <v>83</v>
      </c>
      <c r="H9" s="11" t="s">
        <v>84</v>
      </c>
      <c r="I9" s="11" t="s">
        <v>85</v>
      </c>
      <c r="J9" s="11" t="s">
        <v>86</v>
      </c>
      <c r="K9" s="11" t="s">
        <v>48</v>
      </c>
      <c r="L9" s="12" t="s">
        <v>87</v>
      </c>
    </row>
    <row r="10" customFormat="false" ht="22.35" hidden="false" customHeight="false" outlineLevel="0" collapsed="false">
      <c r="A10" s="11" t="n">
        <v>9</v>
      </c>
      <c r="B10" s="11" t="s">
        <v>73</v>
      </c>
      <c r="C10" s="11" t="s">
        <v>74</v>
      </c>
      <c r="D10" s="11" t="s">
        <v>42</v>
      </c>
      <c r="E10" s="11" t="s">
        <v>88</v>
      </c>
      <c r="F10" s="11"/>
      <c r="G10" s="11" t="s">
        <v>89</v>
      </c>
      <c r="H10" s="11" t="s">
        <v>45</v>
      </c>
      <c r="I10" s="11" t="s">
        <v>90</v>
      </c>
      <c r="J10" s="11" t="s">
        <v>91</v>
      </c>
      <c r="K10" s="11" t="s">
        <v>92</v>
      </c>
      <c r="L10" s="12" t="s">
        <v>93</v>
      </c>
    </row>
    <row r="11" customFormat="false" ht="53.7" hidden="false" customHeight="false" outlineLevel="0" collapsed="false">
      <c r="A11" s="11" t="n">
        <v>10</v>
      </c>
      <c r="B11" s="11" t="s">
        <v>25</v>
      </c>
      <c r="C11" s="11" t="s">
        <v>41</v>
      </c>
      <c r="D11" s="11" t="s">
        <v>42</v>
      </c>
      <c r="E11" s="11" t="s">
        <v>94</v>
      </c>
      <c r="F11" s="11"/>
      <c r="G11" s="11" t="s">
        <v>95</v>
      </c>
      <c r="H11" s="11" t="s">
        <v>45</v>
      </c>
      <c r="I11" s="11" t="s">
        <v>96</v>
      </c>
      <c r="J11" s="11" t="s">
        <v>97</v>
      </c>
      <c r="K11" s="11" t="s">
        <v>48</v>
      </c>
      <c r="L11" s="12" t="s">
        <v>98</v>
      </c>
    </row>
    <row r="12" customFormat="false" ht="32.8" hidden="false" customHeight="false" outlineLevel="0" collapsed="false">
      <c r="A12" s="11" t="n">
        <v>11</v>
      </c>
      <c r="B12" s="11" t="s">
        <v>50</v>
      </c>
      <c r="C12" s="11" t="s">
        <v>99</v>
      </c>
      <c r="D12" s="11" t="s">
        <v>42</v>
      </c>
      <c r="E12" s="11" t="s">
        <v>100</v>
      </c>
      <c r="F12" s="11" t="s">
        <v>100</v>
      </c>
      <c r="G12" s="11" t="s">
        <v>101</v>
      </c>
      <c r="H12" s="11" t="s">
        <v>45</v>
      </c>
      <c r="I12" s="11" t="s">
        <v>102</v>
      </c>
      <c r="J12" s="11" t="s">
        <v>103</v>
      </c>
      <c r="K12" s="11" t="s">
        <v>48</v>
      </c>
      <c r="L12" s="12" t="s">
        <v>104</v>
      </c>
    </row>
    <row r="13" customFormat="false" ht="32.8" hidden="false" customHeight="false" outlineLevel="0" collapsed="false">
      <c r="A13" s="11" t="n">
        <v>12</v>
      </c>
      <c r="B13" s="11" t="s">
        <v>25</v>
      </c>
      <c r="C13" s="11" t="s">
        <v>41</v>
      </c>
      <c r="D13" s="11" t="s">
        <v>42</v>
      </c>
      <c r="E13" s="11" t="s">
        <v>100</v>
      </c>
      <c r="F13" s="11"/>
      <c r="G13" s="11" t="s">
        <v>101</v>
      </c>
      <c r="H13" s="11" t="s">
        <v>45</v>
      </c>
      <c r="I13" s="11" t="s">
        <v>102</v>
      </c>
      <c r="J13" s="11" t="s">
        <v>103</v>
      </c>
      <c r="K13" s="11" t="s">
        <v>48</v>
      </c>
      <c r="L13" s="12" t="s">
        <v>104</v>
      </c>
    </row>
    <row r="14" customFormat="false" ht="22.35" hidden="false" customHeight="false" outlineLevel="0" collapsed="false">
      <c r="A14" s="11" t="n">
        <v>13</v>
      </c>
      <c r="B14" s="11" t="s">
        <v>73</v>
      </c>
      <c r="C14" s="11" t="s">
        <v>74</v>
      </c>
      <c r="D14" s="11" t="s">
        <v>42</v>
      </c>
      <c r="E14" s="11" t="s">
        <v>105</v>
      </c>
      <c r="F14" s="11"/>
      <c r="G14" s="11" t="s">
        <v>106</v>
      </c>
      <c r="H14" s="11" t="s">
        <v>107</v>
      </c>
      <c r="I14" s="11" t="s">
        <v>108</v>
      </c>
      <c r="J14" s="11" t="s">
        <v>109</v>
      </c>
      <c r="K14" s="11" t="s">
        <v>48</v>
      </c>
      <c r="L14" s="12" t="s">
        <v>110</v>
      </c>
    </row>
    <row r="15" customFormat="false" ht="22.35" hidden="false" customHeight="false" outlineLevel="0" collapsed="false">
      <c r="A15" s="11" t="n">
        <v>14</v>
      </c>
      <c r="B15" s="11" t="s">
        <v>73</v>
      </c>
      <c r="C15" s="11" t="s">
        <v>74</v>
      </c>
      <c r="D15" s="11" t="s">
        <v>42</v>
      </c>
      <c r="E15" s="11" t="s">
        <v>111</v>
      </c>
      <c r="F15" s="11"/>
      <c r="G15" s="11" t="s">
        <v>112</v>
      </c>
      <c r="H15" s="11" t="s">
        <v>107</v>
      </c>
      <c r="I15" s="11" t="s">
        <v>113</v>
      </c>
      <c r="J15" s="11" t="s">
        <v>114</v>
      </c>
      <c r="K15" s="11" t="s">
        <v>48</v>
      </c>
      <c r="L15" s="12" t="s">
        <v>115</v>
      </c>
    </row>
    <row r="16" customFormat="false" ht="32.8" hidden="false" customHeight="false" outlineLevel="0" collapsed="false">
      <c r="A16" s="11" t="n">
        <v>15</v>
      </c>
      <c r="B16" s="11" t="s">
        <v>25</v>
      </c>
      <c r="C16" s="11" t="s">
        <v>41</v>
      </c>
      <c r="D16" s="11" t="s">
        <v>42</v>
      </c>
      <c r="E16" s="11" t="s">
        <v>116</v>
      </c>
      <c r="F16" s="11"/>
      <c r="G16" s="11" t="s">
        <v>117</v>
      </c>
      <c r="H16" s="11" t="s">
        <v>118</v>
      </c>
      <c r="I16" s="11" t="s">
        <v>119</v>
      </c>
      <c r="J16" s="11" t="s">
        <v>120</v>
      </c>
      <c r="K16" s="11" t="s">
        <v>48</v>
      </c>
      <c r="L16" s="12" t="s">
        <v>121</v>
      </c>
    </row>
    <row r="17" customFormat="false" ht="22.35" hidden="false" customHeight="false" outlineLevel="0" collapsed="false">
      <c r="A17" s="11" t="n">
        <v>16</v>
      </c>
      <c r="B17" s="11" t="s">
        <v>25</v>
      </c>
      <c r="C17" s="11" t="s">
        <v>41</v>
      </c>
      <c r="D17" s="11" t="s">
        <v>42</v>
      </c>
      <c r="E17" s="11" t="s">
        <v>122</v>
      </c>
      <c r="F17" s="11"/>
      <c r="G17" s="11" t="s">
        <v>123</v>
      </c>
      <c r="H17" s="11" t="s">
        <v>124</v>
      </c>
      <c r="I17" s="11" t="s">
        <v>125</v>
      </c>
      <c r="J17" s="11" t="s">
        <v>126</v>
      </c>
      <c r="K17" s="11" t="s">
        <v>48</v>
      </c>
      <c r="L17" s="12" t="s">
        <v>127</v>
      </c>
    </row>
    <row r="18" customFormat="false" ht="22.35" hidden="false" customHeight="false" outlineLevel="0" collapsed="false">
      <c r="A18" s="11" t="n">
        <v>17</v>
      </c>
      <c r="B18" s="11" t="s">
        <v>73</v>
      </c>
      <c r="C18" s="11" t="s">
        <v>74</v>
      </c>
      <c r="D18" s="11" t="s">
        <v>42</v>
      </c>
      <c r="E18" s="11" t="s">
        <v>128</v>
      </c>
      <c r="F18" s="11"/>
      <c r="G18" s="11" t="s">
        <v>129</v>
      </c>
      <c r="H18" s="11" t="s">
        <v>45</v>
      </c>
      <c r="I18" s="11" t="s">
        <v>130</v>
      </c>
      <c r="J18" s="11" t="s">
        <v>131</v>
      </c>
      <c r="K18" s="11" t="s">
        <v>48</v>
      </c>
      <c r="L18" s="12" t="s">
        <v>132</v>
      </c>
    </row>
    <row r="19" customFormat="false" ht="22.35" hidden="false" customHeight="false" outlineLevel="0" collapsed="false">
      <c r="A19" s="11" t="n">
        <v>18</v>
      </c>
      <c r="B19" s="11" t="s">
        <v>25</v>
      </c>
      <c r="C19" s="11" t="s">
        <v>41</v>
      </c>
      <c r="D19" s="11" t="s">
        <v>42</v>
      </c>
      <c r="E19" s="11" t="s">
        <v>133</v>
      </c>
      <c r="F19" s="11"/>
      <c r="G19" s="11" t="s">
        <v>134</v>
      </c>
      <c r="H19" s="11" t="s">
        <v>135</v>
      </c>
      <c r="I19" s="11" t="s">
        <v>136</v>
      </c>
      <c r="J19" s="11" t="s">
        <v>137</v>
      </c>
      <c r="K19" s="11" t="s">
        <v>48</v>
      </c>
      <c r="L19" s="12" t="s">
        <v>138</v>
      </c>
    </row>
    <row r="20" customFormat="false" ht="22.35" hidden="false" customHeight="false" outlineLevel="0" collapsed="false">
      <c r="A20" s="11" t="n">
        <v>19</v>
      </c>
      <c r="B20" s="11" t="s">
        <v>25</v>
      </c>
      <c r="C20" s="11" t="s">
        <v>41</v>
      </c>
      <c r="D20" s="11" t="s">
        <v>42</v>
      </c>
      <c r="E20" s="11" t="s">
        <v>139</v>
      </c>
      <c r="F20" s="11"/>
      <c r="G20" s="11" t="s">
        <v>140</v>
      </c>
      <c r="H20" s="11" t="s">
        <v>118</v>
      </c>
      <c r="I20" s="11" t="s">
        <v>141</v>
      </c>
      <c r="J20" s="11" t="s">
        <v>142</v>
      </c>
      <c r="K20" s="11" t="s">
        <v>48</v>
      </c>
      <c r="L20" s="12" t="s">
        <v>143</v>
      </c>
    </row>
    <row r="21" customFormat="false" ht="22.35" hidden="false" customHeight="false" outlineLevel="0" collapsed="false">
      <c r="A21" s="11" t="n">
        <v>20</v>
      </c>
      <c r="B21" s="11" t="s">
        <v>25</v>
      </c>
      <c r="C21" s="11" t="s">
        <v>144</v>
      </c>
      <c r="D21" s="11" t="s">
        <v>42</v>
      </c>
      <c r="E21" s="11" t="s">
        <v>145</v>
      </c>
      <c r="F21" s="11"/>
      <c r="G21" s="11" t="s">
        <v>146</v>
      </c>
      <c r="H21" s="11" t="s">
        <v>45</v>
      </c>
      <c r="I21" s="11" t="s">
        <v>147</v>
      </c>
      <c r="J21" s="11" t="s">
        <v>148</v>
      </c>
      <c r="K21" s="11" t="s">
        <v>48</v>
      </c>
      <c r="L21" s="12" t="s">
        <v>149</v>
      </c>
    </row>
    <row r="22" customFormat="false" ht="22.35" hidden="false" customHeight="false" outlineLevel="0" collapsed="false">
      <c r="A22" s="11" t="n">
        <v>21</v>
      </c>
      <c r="B22" s="11" t="s">
        <v>25</v>
      </c>
      <c r="C22" s="11" t="s">
        <v>41</v>
      </c>
      <c r="D22" s="11" t="s">
        <v>42</v>
      </c>
      <c r="E22" s="11" t="s">
        <v>150</v>
      </c>
      <c r="F22" s="11"/>
      <c r="G22" s="11" t="s">
        <v>151</v>
      </c>
      <c r="H22" s="11" t="s">
        <v>152</v>
      </c>
      <c r="I22" s="11" t="s">
        <v>153</v>
      </c>
      <c r="J22" s="11" t="s">
        <v>154</v>
      </c>
      <c r="K22" s="11" t="s">
        <v>48</v>
      </c>
      <c r="L22" s="12" t="s">
        <v>155</v>
      </c>
    </row>
    <row r="23" customFormat="false" ht="22.35" hidden="false" customHeight="false" outlineLevel="0" collapsed="false">
      <c r="A23" s="11" t="n">
        <v>22</v>
      </c>
      <c r="B23" s="11" t="s">
        <v>25</v>
      </c>
      <c r="C23" s="11" t="s">
        <v>156</v>
      </c>
      <c r="D23" s="11" t="s">
        <v>42</v>
      </c>
      <c r="E23" s="11" t="s">
        <v>157</v>
      </c>
      <c r="F23" s="11" t="s">
        <v>158</v>
      </c>
      <c r="G23" s="11" t="s">
        <v>159</v>
      </c>
      <c r="H23" s="11" t="s">
        <v>60</v>
      </c>
      <c r="I23" s="11" t="s">
        <v>160</v>
      </c>
      <c r="J23" s="11" t="s">
        <v>161</v>
      </c>
      <c r="K23" s="11" t="s">
        <v>162</v>
      </c>
      <c r="L23" s="11"/>
    </row>
    <row r="24" customFormat="false" ht="22.35" hidden="false" customHeight="false" outlineLevel="0" collapsed="false">
      <c r="A24" s="11" t="n">
        <v>23</v>
      </c>
      <c r="B24" s="11" t="s">
        <v>73</v>
      </c>
      <c r="C24" s="11" t="s">
        <v>74</v>
      </c>
      <c r="D24" s="11" t="s">
        <v>42</v>
      </c>
      <c r="E24" s="11" t="s">
        <v>163</v>
      </c>
      <c r="F24" s="11"/>
      <c r="G24" s="11" t="s">
        <v>164</v>
      </c>
      <c r="H24" s="11" t="s">
        <v>118</v>
      </c>
      <c r="I24" s="11" t="s">
        <v>165</v>
      </c>
      <c r="J24" s="11" t="s">
        <v>166</v>
      </c>
      <c r="K24" s="11" t="s">
        <v>48</v>
      </c>
      <c r="L24" s="12" t="s">
        <v>167</v>
      </c>
    </row>
    <row r="25" customFormat="false" ht="22.35" hidden="false" customHeight="false" outlineLevel="0" collapsed="false">
      <c r="A25" s="11" t="n">
        <v>24</v>
      </c>
      <c r="B25" s="11" t="s">
        <v>73</v>
      </c>
      <c r="C25" s="11" t="s">
        <v>74</v>
      </c>
      <c r="D25" s="11" t="s">
        <v>42</v>
      </c>
      <c r="E25" s="11" t="s">
        <v>168</v>
      </c>
      <c r="F25" s="11"/>
      <c r="G25" s="11" t="s">
        <v>169</v>
      </c>
      <c r="H25" s="11" t="s">
        <v>170</v>
      </c>
      <c r="I25" s="11" t="s">
        <v>171</v>
      </c>
      <c r="J25" s="11" t="s">
        <v>172</v>
      </c>
      <c r="K25" s="11" t="s">
        <v>92</v>
      </c>
      <c r="L25" s="12" t="s">
        <v>173</v>
      </c>
    </row>
    <row r="26" customFormat="false" ht="15" hidden="false" customHeight="false" outlineLevel="0" collapsed="false">
      <c r="A26" s="11" t="n">
        <v>25</v>
      </c>
      <c r="B26" s="11" t="s">
        <v>73</v>
      </c>
      <c r="C26" s="11" t="s">
        <v>74</v>
      </c>
      <c r="D26" s="11" t="s">
        <v>42</v>
      </c>
      <c r="E26" s="11" t="s">
        <v>174</v>
      </c>
      <c r="F26" s="11"/>
      <c r="G26" s="11" t="s">
        <v>175</v>
      </c>
      <c r="H26" s="11" t="s">
        <v>176</v>
      </c>
      <c r="I26" s="11" t="s">
        <v>177</v>
      </c>
      <c r="J26" s="11" t="s">
        <v>178</v>
      </c>
      <c r="K26" s="11" t="s">
        <v>48</v>
      </c>
      <c r="L26" s="12" t="s">
        <v>179</v>
      </c>
    </row>
    <row r="27" customFormat="false" ht="22.35" hidden="false" customHeight="false" outlineLevel="0" collapsed="false">
      <c r="A27" s="11" t="n">
        <v>26</v>
      </c>
      <c r="B27" s="11" t="s">
        <v>180</v>
      </c>
      <c r="C27" s="11" t="s">
        <v>181</v>
      </c>
      <c r="D27" s="11" t="s">
        <v>42</v>
      </c>
      <c r="E27" s="11" t="s">
        <v>182</v>
      </c>
      <c r="F27" s="11"/>
      <c r="G27" s="11" t="s">
        <v>183</v>
      </c>
      <c r="H27" s="11" t="s">
        <v>118</v>
      </c>
      <c r="I27" s="11" t="s">
        <v>184</v>
      </c>
      <c r="J27" s="11" t="s">
        <v>178</v>
      </c>
      <c r="K27" s="11" t="s">
        <v>48</v>
      </c>
      <c r="L27" s="12" t="s">
        <v>185</v>
      </c>
    </row>
    <row r="28" customFormat="false" ht="22.35" hidden="false" customHeight="false" outlineLevel="0" collapsed="false">
      <c r="A28" s="11" t="n">
        <v>27</v>
      </c>
      <c r="B28" s="11" t="s">
        <v>50</v>
      </c>
      <c r="C28" s="11" t="s">
        <v>186</v>
      </c>
      <c r="D28" s="11" t="s">
        <v>42</v>
      </c>
      <c r="E28" s="11" t="s">
        <v>187</v>
      </c>
      <c r="F28" s="11" t="s">
        <v>187</v>
      </c>
      <c r="G28" s="11" t="s">
        <v>188</v>
      </c>
      <c r="H28" s="11" t="s">
        <v>189</v>
      </c>
      <c r="I28" s="11" t="s">
        <v>190</v>
      </c>
      <c r="J28" s="11" t="s">
        <v>191</v>
      </c>
      <c r="K28" s="11" t="s">
        <v>48</v>
      </c>
      <c r="L28" s="12" t="s">
        <v>192</v>
      </c>
    </row>
    <row r="29" customFormat="false" ht="22.35" hidden="false" customHeight="false" outlineLevel="0" collapsed="false">
      <c r="A29" s="11" t="n">
        <v>28</v>
      </c>
      <c r="B29" s="11" t="s">
        <v>25</v>
      </c>
      <c r="C29" s="11" t="s">
        <v>41</v>
      </c>
      <c r="D29" s="11" t="s">
        <v>42</v>
      </c>
      <c r="E29" s="11" t="s">
        <v>187</v>
      </c>
      <c r="F29" s="11"/>
      <c r="G29" s="11" t="s">
        <v>188</v>
      </c>
      <c r="H29" s="11" t="s">
        <v>189</v>
      </c>
      <c r="I29" s="11" t="s">
        <v>190</v>
      </c>
      <c r="J29" s="11" t="s">
        <v>191</v>
      </c>
      <c r="K29" s="11" t="s">
        <v>48</v>
      </c>
      <c r="L29" s="12" t="s">
        <v>192</v>
      </c>
    </row>
    <row r="30" customFormat="false" ht="22.35" hidden="false" customHeight="false" outlineLevel="0" collapsed="false">
      <c r="A30" s="11" t="n">
        <v>29</v>
      </c>
      <c r="B30" s="11" t="s">
        <v>25</v>
      </c>
      <c r="C30" s="11" t="s">
        <v>41</v>
      </c>
      <c r="D30" s="11" t="s">
        <v>42</v>
      </c>
      <c r="E30" s="11" t="s">
        <v>193</v>
      </c>
      <c r="F30" s="11"/>
      <c r="G30" s="11" t="s">
        <v>194</v>
      </c>
      <c r="H30" s="11" t="s">
        <v>60</v>
      </c>
      <c r="I30" s="11" t="s">
        <v>195</v>
      </c>
      <c r="J30" s="11" t="s">
        <v>196</v>
      </c>
      <c r="K30" s="11" t="s">
        <v>48</v>
      </c>
      <c r="L30" s="12" t="s">
        <v>197</v>
      </c>
    </row>
    <row r="31" customFormat="false" ht="22.35" hidden="false" customHeight="false" outlineLevel="0" collapsed="false">
      <c r="A31" s="11" t="n">
        <v>30</v>
      </c>
      <c r="B31" s="11" t="s">
        <v>73</v>
      </c>
      <c r="C31" s="11" t="s">
        <v>74</v>
      </c>
      <c r="D31" s="11" t="s">
        <v>42</v>
      </c>
      <c r="E31" s="11" t="s">
        <v>158</v>
      </c>
      <c r="F31" s="11"/>
      <c r="G31" s="11" t="s">
        <v>159</v>
      </c>
      <c r="H31" s="11" t="s">
        <v>198</v>
      </c>
      <c r="I31" s="11" t="s">
        <v>160</v>
      </c>
      <c r="J31" s="11" t="s">
        <v>199</v>
      </c>
      <c r="K31" s="11" t="s">
        <v>200</v>
      </c>
      <c r="L31" s="12" t="s">
        <v>201</v>
      </c>
    </row>
    <row r="32" customFormat="false" ht="22.35" hidden="false" customHeight="false" outlineLevel="0" collapsed="false">
      <c r="A32" s="11" t="n">
        <v>31</v>
      </c>
      <c r="B32" s="11" t="s">
        <v>50</v>
      </c>
      <c r="C32" s="11" t="s">
        <v>202</v>
      </c>
      <c r="D32" s="11" t="s">
        <v>42</v>
      </c>
      <c r="E32" s="11" t="s">
        <v>203</v>
      </c>
      <c r="F32" s="11" t="s">
        <v>203</v>
      </c>
      <c r="G32" s="11" t="s">
        <v>204</v>
      </c>
      <c r="H32" s="11" t="s">
        <v>118</v>
      </c>
      <c r="I32" s="11" t="s">
        <v>205</v>
      </c>
      <c r="J32" s="11" t="s">
        <v>206</v>
      </c>
      <c r="K32" s="11" t="s">
        <v>48</v>
      </c>
      <c r="L32" s="12" t="s">
        <v>207</v>
      </c>
    </row>
    <row r="33" customFormat="false" ht="22.35" hidden="false" customHeight="false" outlineLevel="0" collapsed="false">
      <c r="A33" s="11" t="n">
        <v>32</v>
      </c>
      <c r="B33" s="11" t="s">
        <v>180</v>
      </c>
      <c r="C33" s="11" t="s">
        <v>208</v>
      </c>
      <c r="D33" s="11" t="s">
        <v>42</v>
      </c>
      <c r="E33" s="11" t="s">
        <v>203</v>
      </c>
      <c r="F33" s="11"/>
      <c r="G33" s="11" t="s">
        <v>204</v>
      </c>
      <c r="H33" s="11" t="s">
        <v>118</v>
      </c>
      <c r="I33" s="11" t="s">
        <v>205</v>
      </c>
      <c r="J33" s="11" t="s">
        <v>206</v>
      </c>
      <c r="K33" s="11" t="s">
        <v>48</v>
      </c>
      <c r="L33" s="12" t="s">
        <v>207</v>
      </c>
    </row>
    <row r="34" customFormat="false" ht="32.8" hidden="false" customHeight="false" outlineLevel="0" collapsed="false">
      <c r="A34" s="11" t="n">
        <v>33</v>
      </c>
      <c r="B34" s="11" t="s">
        <v>73</v>
      </c>
      <c r="C34" s="11" t="s">
        <v>74</v>
      </c>
      <c r="D34" s="11" t="s">
        <v>42</v>
      </c>
      <c r="E34" s="11" t="s">
        <v>209</v>
      </c>
      <c r="F34" s="11"/>
      <c r="G34" s="11" t="s">
        <v>210</v>
      </c>
      <c r="H34" s="11" t="s">
        <v>84</v>
      </c>
      <c r="I34" s="11" t="s">
        <v>211</v>
      </c>
      <c r="J34" s="11" t="s">
        <v>212</v>
      </c>
      <c r="K34" s="11" t="s">
        <v>92</v>
      </c>
      <c r="L34" s="12" t="s">
        <v>213</v>
      </c>
    </row>
    <row r="35" customFormat="false" ht="22.35" hidden="false" customHeight="false" outlineLevel="0" collapsed="false">
      <c r="A35" s="11" t="n">
        <v>34</v>
      </c>
      <c r="B35" s="11" t="s">
        <v>25</v>
      </c>
      <c r="C35" s="11" t="s">
        <v>41</v>
      </c>
      <c r="D35" s="11" t="s">
        <v>42</v>
      </c>
      <c r="E35" s="11" t="s">
        <v>214</v>
      </c>
      <c r="F35" s="11"/>
      <c r="G35" s="11" t="s">
        <v>215</v>
      </c>
      <c r="H35" s="11" t="s">
        <v>216</v>
      </c>
      <c r="I35" s="11" t="s">
        <v>217</v>
      </c>
      <c r="J35" s="11" t="s">
        <v>218</v>
      </c>
      <c r="K35" s="11" t="s">
        <v>48</v>
      </c>
      <c r="L35" s="12" t="s">
        <v>219</v>
      </c>
    </row>
    <row r="36" customFormat="false" ht="26.85" hidden="false" customHeight="false" outlineLevel="0" collapsed="false">
      <c r="A36" s="11" t="n">
        <v>35</v>
      </c>
      <c r="B36" s="11" t="s">
        <v>73</v>
      </c>
      <c r="C36" s="11" t="s">
        <v>74</v>
      </c>
      <c r="D36" s="11" t="s">
        <v>42</v>
      </c>
      <c r="E36" s="11" t="s">
        <v>220</v>
      </c>
      <c r="F36" s="11"/>
      <c r="G36" s="11" t="s">
        <v>221</v>
      </c>
      <c r="H36" s="11" t="s">
        <v>170</v>
      </c>
      <c r="I36" s="13" t="s">
        <v>222</v>
      </c>
      <c r="J36" s="11" t="s">
        <v>223</v>
      </c>
      <c r="K36" s="11" t="s">
        <v>48</v>
      </c>
      <c r="L36" s="12" t="s">
        <v>224</v>
      </c>
    </row>
    <row r="37" customFormat="false" ht="22.35" hidden="false" customHeight="false" outlineLevel="0" collapsed="false">
      <c r="A37" s="11" t="n">
        <v>36</v>
      </c>
      <c r="B37" s="11" t="s">
        <v>25</v>
      </c>
      <c r="C37" s="11" t="s">
        <v>41</v>
      </c>
      <c r="D37" s="11" t="s">
        <v>42</v>
      </c>
      <c r="E37" s="11" t="s">
        <v>225</v>
      </c>
      <c r="F37" s="11"/>
      <c r="G37" s="11" t="s">
        <v>226</v>
      </c>
      <c r="H37" s="11" t="s">
        <v>107</v>
      </c>
      <c r="I37" s="11" t="s">
        <v>227</v>
      </c>
      <c r="J37" s="11" t="s">
        <v>228</v>
      </c>
      <c r="K37" s="11" t="s">
        <v>48</v>
      </c>
      <c r="L37" s="12" t="s">
        <v>229</v>
      </c>
    </row>
    <row r="38" customFormat="false" ht="22.35" hidden="false" customHeight="false" outlineLevel="0" collapsed="false">
      <c r="A38" s="11" t="n">
        <v>37</v>
      </c>
      <c r="B38" s="11" t="s">
        <v>73</v>
      </c>
      <c r="C38" s="11" t="s">
        <v>74</v>
      </c>
      <c r="D38" s="11" t="s">
        <v>42</v>
      </c>
      <c r="E38" s="11" t="s">
        <v>230</v>
      </c>
      <c r="F38" s="11"/>
      <c r="G38" s="11" t="s">
        <v>231</v>
      </c>
      <c r="H38" s="11" t="s">
        <v>45</v>
      </c>
      <c r="I38" s="11" t="s">
        <v>232</v>
      </c>
      <c r="J38" s="11" t="s">
        <v>233</v>
      </c>
      <c r="K38" s="11" t="s">
        <v>48</v>
      </c>
      <c r="L38" s="12" t="s">
        <v>234</v>
      </c>
    </row>
    <row r="39" customFormat="false" ht="22.35" hidden="false" customHeight="false" outlineLevel="0" collapsed="false">
      <c r="A39" s="11" t="n">
        <v>38</v>
      </c>
      <c r="B39" s="11" t="s">
        <v>50</v>
      </c>
      <c r="C39" s="11" t="s">
        <v>235</v>
      </c>
      <c r="D39" s="11" t="s">
        <v>42</v>
      </c>
      <c r="E39" s="11" t="s">
        <v>236</v>
      </c>
      <c r="F39" s="11" t="s">
        <v>236</v>
      </c>
      <c r="G39" s="11" t="s">
        <v>237</v>
      </c>
      <c r="H39" s="11" t="s">
        <v>135</v>
      </c>
      <c r="I39" s="11" t="s">
        <v>238</v>
      </c>
      <c r="J39" s="11" t="s">
        <v>239</v>
      </c>
      <c r="K39" s="11" t="s">
        <v>48</v>
      </c>
      <c r="L39" s="12" t="s">
        <v>240</v>
      </c>
    </row>
    <row r="40" customFormat="false" ht="22.35" hidden="false" customHeight="false" outlineLevel="0" collapsed="false">
      <c r="A40" s="11" t="n">
        <v>39</v>
      </c>
      <c r="B40" s="11" t="s">
        <v>25</v>
      </c>
      <c r="C40" s="11" t="s">
        <v>41</v>
      </c>
      <c r="D40" s="11" t="s">
        <v>42</v>
      </c>
      <c r="E40" s="11" t="s">
        <v>236</v>
      </c>
      <c r="F40" s="11"/>
      <c r="G40" s="11" t="s">
        <v>237</v>
      </c>
      <c r="H40" s="11" t="s">
        <v>135</v>
      </c>
      <c r="I40" s="11" t="s">
        <v>238</v>
      </c>
      <c r="J40" s="11" t="s">
        <v>239</v>
      </c>
      <c r="K40" s="11" t="s">
        <v>48</v>
      </c>
      <c r="L40" s="12" t="s">
        <v>240</v>
      </c>
    </row>
    <row r="41" customFormat="false" ht="22.35" hidden="false" customHeight="false" outlineLevel="0" collapsed="false">
      <c r="A41" s="11" t="n">
        <v>40</v>
      </c>
      <c r="B41" s="11" t="s">
        <v>73</v>
      </c>
      <c r="C41" s="11" t="s">
        <v>74</v>
      </c>
      <c r="D41" s="11" t="s">
        <v>42</v>
      </c>
      <c r="E41" s="11" t="s">
        <v>241</v>
      </c>
      <c r="F41" s="11"/>
      <c r="G41" s="11" t="s">
        <v>242</v>
      </c>
      <c r="H41" s="11" t="s">
        <v>45</v>
      </c>
      <c r="I41" s="11" t="s">
        <v>243</v>
      </c>
      <c r="J41" s="11" t="s">
        <v>244</v>
      </c>
      <c r="K41" s="11" t="s">
        <v>48</v>
      </c>
      <c r="L41" s="12" t="s">
        <v>245</v>
      </c>
    </row>
    <row r="42" customFormat="false" ht="22.35" hidden="false" customHeight="false" outlineLevel="0" collapsed="false">
      <c r="A42" s="11" t="n">
        <v>41</v>
      </c>
      <c r="B42" s="11" t="s">
        <v>25</v>
      </c>
      <c r="C42" s="11" t="s">
        <v>41</v>
      </c>
      <c r="D42" s="11" t="s">
        <v>42</v>
      </c>
      <c r="E42" s="11" t="s">
        <v>246</v>
      </c>
      <c r="F42" s="11"/>
      <c r="G42" s="11" t="s">
        <v>247</v>
      </c>
      <c r="H42" s="11" t="s">
        <v>176</v>
      </c>
      <c r="I42" s="11" t="s">
        <v>248</v>
      </c>
      <c r="J42" s="11" t="s">
        <v>191</v>
      </c>
      <c r="K42" s="11" t="s">
        <v>48</v>
      </c>
      <c r="L42" s="12" t="s">
        <v>249</v>
      </c>
    </row>
    <row r="43" customFormat="false" ht="22.35" hidden="false" customHeight="false" outlineLevel="0" collapsed="false">
      <c r="A43" s="11" t="n">
        <v>42</v>
      </c>
      <c r="B43" s="11" t="s">
        <v>25</v>
      </c>
      <c r="C43" s="11" t="s">
        <v>41</v>
      </c>
      <c r="D43" s="11" t="s">
        <v>42</v>
      </c>
      <c r="E43" s="11" t="s">
        <v>250</v>
      </c>
      <c r="F43" s="11"/>
      <c r="G43" s="11" t="s">
        <v>251</v>
      </c>
      <c r="H43" s="11" t="s">
        <v>107</v>
      </c>
      <c r="I43" s="11" t="s">
        <v>252</v>
      </c>
      <c r="J43" s="11" t="s">
        <v>253</v>
      </c>
      <c r="K43" s="11" t="s">
        <v>254</v>
      </c>
      <c r="L43" s="12" t="s">
        <v>255</v>
      </c>
    </row>
    <row r="44" customFormat="false" ht="43.25" hidden="false" customHeight="false" outlineLevel="0" collapsed="false">
      <c r="A44" s="11" t="n">
        <v>43</v>
      </c>
      <c r="B44" s="11" t="s">
        <v>50</v>
      </c>
      <c r="C44" s="11" t="s">
        <v>256</v>
      </c>
      <c r="D44" s="11" t="s">
        <v>42</v>
      </c>
      <c r="E44" s="11" t="s">
        <v>257</v>
      </c>
      <c r="F44" s="11" t="s">
        <v>257</v>
      </c>
      <c r="G44" s="11" t="s">
        <v>258</v>
      </c>
      <c r="H44" s="11" t="s">
        <v>118</v>
      </c>
      <c r="I44" s="11" t="s">
        <v>259</v>
      </c>
      <c r="J44" s="11" t="s">
        <v>260</v>
      </c>
      <c r="K44" s="11" t="s">
        <v>48</v>
      </c>
      <c r="L44" s="12" t="s">
        <v>261</v>
      </c>
    </row>
    <row r="45" customFormat="false" ht="43.25" hidden="false" customHeight="false" outlineLevel="0" collapsed="false">
      <c r="A45" s="11" t="n">
        <v>44</v>
      </c>
      <c r="B45" s="11" t="s">
        <v>25</v>
      </c>
      <c r="C45" s="11" t="s">
        <v>41</v>
      </c>
      <c r="D45" s="11" t="s">
        <v>42</v>
      </c>
      <c r="E45" s="11" t="s">
        <v>257</v>
      </c>
      <c r="F45" s="11"/>
      <c r="G45" s="11" t="s">
        <v>258</v>
      </c>
      <c r="H45" s="11" t="s">
        <v>118</v>
      </c>
      <c r="I45" s="11" t="s">
        <v>259</v>
      </c>
      <c r="J45" s="11" t="s">
        <v>260</v>
      </c>
      <c r="K45" s="11" t="s">
        <v>48</v>
      </c>
      <c r="L45" s="12" t="s">
        <v>261</v>
      </c>
    </row>
    <row r="46" customFormat="false" ht="32.8" hidden="false" customHeight="false" outlineLevel="0" collapsed="false">
      <c r="A46" s="11" t="n">
        <v>45</v>
      </c>
      <c r="B46" s="11" t="s">
        <v>25</v>
      </c>
      <c r="C46" s="11" t="s">
        <v>41</v>
      </c>
      <c r="D46" s="11" t="s">
        <v>42</v>
      </c>
      <c r="E46" s="11" t="s">
        <v>262</v>
      </c>
      <c r="F46" s="11"/>
      <c r="G46" s="11" t="s">
        <v>263</v>
      </c>
      <c r="H46" s="11" t="s">
        <v>45</v>
      </c>
      <c r="I46" s="11" t="s">
        <v>264</v>
      </c>
      <c r="J46" s="11" t="s">
        <v>265</v>
      </c>
      <c r="K46" s="11" t="s">
        <v>48</v>
      </c>
      <c r="L46" s="12" t="s">
        <v>266</v>
      </c>
    </row>
    <row r="47" customFormat="false" ht="22.35" hidden="false" customHeight="false" outlineLevel="0" collapsed="false">
      <c r="A47" s="11" t="n">
        <v>46</v>
      </c>
      <c r="B47" s="11" t="s">
        <v>73</v>
      </c>
      <c r="C47" s="11" t="s">
        <v>74</v>
      </c>
      <c r="D47" s="11" t="s">
        <v>267</v>
      </c>
      <c r="E47" s="11" t="s">
        <v>268</v>
      </c>
      <c r="F47" s="11"/>
      <c r="G47" s="11" t="s">
        <v>269</v>
      </c>
      <c r="H47" s="11" t="s">
        <v>270</v>
      </c>
      <c r="I47" s="11" t="s">
        <v>271</v>
      </c>
      <c r="J47" s="11" t="s">
        <v>272</v>
      </c>
      <c r="K47" s="11" t="s">
        <v>48</v>
      </c>
      <c r="L47" s="12" t="s">
        <v>273</v>
      </c>
    </row>
    <row r="48" customFormat="false" ht="22.35" hidden="false" customHeight="false" outlineLevel="0" collapsed="false">
      <c r="A48" s="11" t="n">
        <v>47</v>
      </c>
      <c r="B48" s="11" t="s">
        <v>50</v>
      </c>
      <c r="C48" s="11" t="s">
        <v>274</v>
      </c>
      <c r="D48" s="11" t="s">
        <v>267</v>
      </c>
      <c r="E48" s="11" t="s">
        <v>275</v>
      </c>
      <c r="F48" s="11" t="s">
        <v>275</v>
      </c>
      <c r="G48" s="11" t="s">
        <v>276</v>
      </c>
      <c r="H48" s="11" t="s">
        <v>69</v>
      </c>
      <c r="I48" s="11" t="s">
        <v>277</v>
      </c>
      <c r="J48" s="11" t="s">
        <v>278</v>
      </c>
      <c r="K48" s="11" t="s">
        <v>48</v>
      </c>
      <c r="L48" s="12" t="s">
        <v>279</v>
      </c>
    </row>
    <row r="49" customFormat="false" ht="22.35" hidden="false" customHeight="false" outlineLevel="0" collapsed="false">
      <c r="A49" s="11" t="n">
        <v>48</v>
      </c>
      <c r="B49" s="11" t="s">
        <v>50</v>
      </c>
      <c r="C49" s="11" t="s">
        <v>274</v>
      </c>
      <c r="D49" s="11" t="s">
        <v>267</v>
      </c>
      <c r="E49" s="11" t="s">
        <v>275</v>
      </c>
      <c r="F49" s="11" t="s">
        <v>275</v>
      </c>
      <c r="G49" s="11" t="s">
        <v>276</v>
      </c>
      <c r="H49" s="11" t="s">
        <v>69</v>
      </c>
      <c r="I49" s="11" t="s">
        <v>277</v>
      </c>
      <c r="J49" s="11" t="s">
        <v>278</v>
      </c>
      <c r="K49" s="11" t="s">
        <v>48</v>
      </c>
      <c r="L49" s="12" t="s">
        <v>279</v>
      </c>
    </row>
    <row r="50" customFormat="false" ht="22.35" hidden="false" customHeight="false" outlineLevel="0" collapsed="false">
      <c r="A50" s="11" t="n">
        <v>49</v>
      </c>
      <c r="B50" s="11" t="s">
        <v>73</v>
      </c>
      <c r="C50" s="11" t="s">
        <v>74</v>
      </c>
      <c r="D50" s="11" t="s">
        <v>267</v>
      </c>
      <c r="E50" s="11" t="s">
        <v>275</v>
      </c>
      <c r="F50" s="11"/>
      <c r="G50" s="11" t="s">
        <v>276</v>
      </c>
      <c r="H50" s="11" t="s">
        <v>69</v>
      </c>
      <c r="I50" s="11" t="s">
        <v>277</v>
      </c>
      <c r="J50" s="11" t="s">
        <v>278</v>
      </c>
      <c r="K50" s="11" t="s">
        <v>48</v>
      </c>
      <c r="L50" s="12" t="s">
        <v>279</v>
      </c>
    </row>
    <row r="51" customFormat="false" ht="22.35" hidden="false" customHeight="false" outlineLevel="0" collapsed="false">
      <c r="A51" s="11" t="n">
        <v>50</v>
      </c>
      <c r="B51" s="11" t="s">
        <v>50</v>
      </c>
      <c r="C51" s="11" t="s">
        <v>280</v>
      </c>
      <c r="D51" s="11" t="s">
        <v>267</v>
      </c>
      <c r="E51" s="11" t="s">
        <v>75</v>
      </c>
      <c r="F51" s="11" t="s">
        <v>75</v>
      </c>
      <c r="G51" s="11" t="s">
        <v>76</v>
      </c>
      <c r="H51" s="11" t="s">
        <v>77</v>
      </c>
      <c r="I51" s="11" t="s">
        <v>78</v>
      </c>
      <c r="J51" s="11" t="s">
        <v>79</v>
      </c>
      <c r="K51" s="11" t="s">
        <v>80</v>
      </c>
      <c r="L51" s="12" t="s">
        <v>81</v>
      </c>
    </row>
    <row r="52" customFormat="false" ht="32.8" hidden="false" customHeight="false" outlineLevel="0" collapsed="false">
      <c r="A52" s="11" t="n">
        <v>51</v>
      </c>
      <c r="B52" s="11" t="s">
        <v>73</v>
      </c>
      <c r="C52" s="11" t="s">
        <v>74</v>
      </c>
      <c r="D52" s="11" t="s">
        <v>267</v>
      </c>
      <c r="E52" s="11" t="s">
        <v>281</v>
      </c>
      <c r="F52" s="11"/>
      <c r="G52" s="11" t="s">
        <v>282</v>
      </c>
      <c r="H52" s="11" t="s">
        <v>170</v>
      </c>
      <c r="I52" s="11" t="s">
        <v>283</v>
      </c>
      <c r="J52" s="11" t="s">
        <v>284</v>
      </c>
      <c r="K52" s="11" t="s">
        <v>92</v>
      </c>
      <c r="L52" s="12" t="s">
        <v>285</v>
      </c>
    </row>
    <row r="53" customFormat="false" ht="32.8" hidden="false" customHeight="false" outlineLevel="0" collapsed="false">
      <c r="A53" s="11" t="n">
        <v>52</v>
      </c>
      <c r="B53" s="11" t="s">
        <v>73</v>
      </c>
      <c r="C53" s="11" t="s">
        <v>74</v>
      </c>
      <c r="D53" s="11" t="s">
        <v>267</v>
      </c>
      <c r="E53" s="11" t="s">
        <v>286</v>
      </c>
      <c r="F53" s="11"/>
      <c r="G53" s="11" t="s">
        <v>287</v>
      </c>
      <c r="H53" s="11" t="s">
        <v>107</v>
      </c>
      <c r="I53" s="11" t="s">
        <v>288</v>
      </c>
      <c r="J53" s="11" t="s">
        <v>289</v>
      </c>
      <c r="K53" s="11" t="s">
        <v>48</v>
      </c>
      <c r="L53" s="12" t="s">
        <v>290</v>
      </c>
    </row>
    <row r="54" customFormat="false" ht="22.35" hidden="false" customHeight="false" outlineLevel="0" collapsed="false">
      <c r="A54" s="11" t="n">
        <v>53</v>
      </c>
      <c r="B54" s="11" t="s">
        <v>73</v>
      </c>
      <c r="C54" s="11" t="s">
        <v>74</v>
      </c>
      <c r="D54" s="11" t="s">
        <v>267</v>
      </c>
      <c r="E54" s="11" t="s">
        <v>291</v>
      </c>
      <c r="F54" s="11"/>
      <c r="G54" s="11" t="s">
        <v>292</v>
      </c>
      <c r="H54" s="11" t="s">
        <v>176</v>
      </c>
      <c r="I54" s="11" t="s">
        <v>293</v>
      </c>
      <c r="J54" s="11" t="s">
        <v>294</v>
      </c>
      <c r="K54" s="11" t="s">
        <v>295</v>
      </c>
      <c r="L54" s="11"/>
    </row>
    <row r="55" customFormat="false" ht="22.35" hidden="false" customHeight="false" outlineLevel="0" collapsed="false">
      <c r="A55" s="11" t="n">
        <v>54</v>
      </c>
      <c r="B55" s="11" t="s">
        <v>73</v>
      </c>
      <c r="C55" s="11" t="s">
        <v>74</v>
      </c>
      <c r="D55" s="11" t="s">
        <v>267</v>
      </c>
      <c r="E55" s="11" t="s">
        <v>296</v>
      </c>
      <c r="F55" s="11"/>
      <c r="G55" s="11" t="s">
        <v>297</v>
      </c>
      <c r="H55" s="11" t="s">
        <v>45</v>
      </c>
      <c r="I55" s="11" t="s">
        <v>298</v>
      </c>
      <c r="J55" s="11" t="s">
        <v>299</v>
      </c>
      <c r="K55" s="11" t="s">
        <v>48</v>
      </c>
      <c r="L55" s="12" t="s">
        <v>300</v>
      </c>
    </row>
    <row r="56" customFormat="false" ht="22.35" hidden="false" customHeight="false" outlineLevel="0" collapsed="false">
      <c r="A56" s="11" t="n">
        <v>55</v>
      </c>
      <c r="B56" s="11" t="s">
        <v>50</v>
      </c>
      <c r="C56" s="11" t="s">
        <v>301</v>
      </c>
      <c r="D56" s="11" t="s">
        <v>267</v>
      </c>
      <c r="E56" s="11" t="s">
        <v>82</v>
      </c>
      <c r="F56" s="11" t="s">
        <v>82</v>
      </c>
      <c r="G56" s="11" t="s">
        <v>83</v>
      </c>
      <c r="H56" s="11" t="s">
        <v>84</v>
      </c>
      <c r="I56" s="11" t="s">
        <v>85</v>
      </c>
      <c r="J56" s="11" t="s">
        <v>86</v>
      </c>
      <c r="K56" s="11" t="s">
        <v>48</v>
      </c>
      <c r="L56" s="12" t="s">
        <v>87</v>
      </c>
    </row>
    <row r="57" customFormat="false" ht="22.35" hidden="false" customHeight="false" outlineLevel="0" collapsed="false">
      <c r="A57" s="11" t="n">
        <v>56</v>
      </c>
      <c r="B57" s="11" t="s">
        <v>50</v>
      </c>
      <c r="C57" s="11" t="s">
        <v>302</v>
      </c>
      <c r="D57" s="11" t="s">
        <v>267</v>
      </c>
      <c r="E57" s="11" t="s">
        <v>88</v>
      </c>
      <c r="F57" s="11" t="s">
        <v>88</v>
      </c>
      <c r="G57" s="11" t="s">
        <v>89</v>
      </c>
      <c r="H57" s="11" t="s">
        <v>45</v>
      </c>
      <c r="I57" s="11" t="s">
        <v>90</v>
      </c>
      <c r="J57" s="11" t="s">
        <v>91</v>
      </c>
      <c r="K57" s="11" t="s">
        <v>92</v>
      </c>
      <c r="L57" s="12" t="s">
        <v>93</v>
      </c>
    </row>
    <row r="58" customFormat="false" ht="22.35" hidden="false" customHeight="false" outlineLevel="0" collapsed="false">
      <c r="A58" s="11" t="n">
        <v>57</v>
      </c>
      <c r="B58" s="11" t="s">
        <v>50</v>
      </c>
      <c r="C58" s="11" t="s">
        <v>303</v>
      </c>
      <c r="D58" s="11" t="s">
        <v>267</v>
      </c>
      <c r="E58" s="11" t="s">
        <v>111</v>
      </c>
      <c r="F58" s="11" t="s">
        <v>111</v>
      </c>
      <c r="G58" s="11" t="s">
        <v>112</v>
      </c>
      <c r="H58" s="11" t="s">
        <v>107</v>
      </c>
      <c r="I58" s="11" t="s">
        <v>113</v>
      </c>
      <c r="J58" s="11" t="s">
        <v>114</v>
      </c>
      <c r="K58" s="11" t="s">
        <v>48</v>
      </c>
      <c r="L58" s="12" t="s">
        <v>115</v>
      </c>
    </row>
    <row r="59" customFormat="false" ht="22.35" hidden="false" customHeight="false" outlineLevel="0" collapsed="false">
      <c r="A59" s="11" t="n">
        <v>58</v>
      </c>
      <c r="B59" s="11" t="s">
        <v>25</v>
      </c>
      <c r="C59" s="11" t="s">
        <v>304</v>
      </c>
      <c r="D59" s="11" t="s">
        <v>267</v>
      </c>
      <c r="E59" s="11" t="s">
        <v>305</v>
      </c>
      <c r="F59" s="11" t="s">
        <v>296</v>
      </c>
      <c r="G59" s="11" t="s">
        <v>297</v>
      </c>
      <c r="H59" s="11" t="s">
        <v>45</v>
      </c>
      <c r="I59" s="11" t="s">
        <v>298</v>
      </c>
      <c r="J59" s="11" t="s">
        <v>299</v>
      </c>
      <c r="K59" s="11" t="s">
        <v>48</v>
      </c>
      <c r="L59" s="12" t="s">
        <v>300</v>
      </c>
    </row>
    <row r="60" customFormat="false" ht="15" hidden="false" customHeight="false" outlineLevel="0" collapsed="false">
      <c r="A60" s="11" t="n">
        <v>59</v>
      </c>
      <c r="B60" s="11" t="s">
        <v>73</v>
      </c>
      <c r="C60" s="11" t="s">
        <v>74</v>
      </c>
      <c r="D60" s="11" t="s">
        <v>267</v>
      </c>
      <c r="E60" s="11" t="s">
        <v>306</v>
      </c>
      <c r="F60" s="11"/>
      <c r="G60" s="11" t="s">
        <v>307</v>
      </c>
      <c r="H60" s="11" t="s">
        <v>308</v>
      </c>
      <c r="I60" s="11" t="s">
        <v>309</v>
      </c>
      <c r="J60" s="11" t="s">
        <v>310</v>
      </c>
      <c r="K60" s="11" t="s">
        <v>92</v>
      </c>
      <c r="L60" s="12" t="s">
        <v>311</v>
      </c>
    </row>
    <row r="61" customFormat="false" ht="22.35" hidden="false" customHeight="false" outlineLevel="0" collapsed="false">
      <c r="A61" s="11" t="n">
        <v>60</v>
      </c>
      <c r="B61" s="11" t="s">
        <v>73</v>
      </c>
      <c r="C61" s="11" t="s">
        <v>74</v>
      </c>
      <c r="D61" s="11" t="s">
        <v>267</v>
      </c>
      <c r="E61" s="11" t="s">
        <v>312</v>
      </c>
      <c r="F61" s="11"/>
      <c r="G61" s="11" t="s">
        <v>313</v>
      </c>
      <c r="H61" s="11" t="s">
        <v>176</v>
      </c>
      <c r="I61" s="11" t="s">
        <v>314</v>
      </c>
      <c r="J61" s="11" t="s">
        <v>315</v>
      </c>
      <c r="K61" s="11" t="s">
        <v>48</v>
      </c>
      <c r="L61" s="12" t="s">
        <v>316</v>
      </c>
    </row>
    <row r="62" customFormat="false" ht="32.8" hidden="false" customHeight="false" outlineLevel="0" collapsed="false">
      <c r="A62" s="11" t="n">
        <v>61</v>
      </c>
      <c r="B62" s="11" t="s">
        <v>25</v>
      </c>
      <c r="C62" s="11" t="s">
        <v>304</v>
      </c>
      <c r="D62" s="11" t="s">
        <v>267</v>
      </c>
      <c r="E62" s="11" t="s">
        <v>317</v>
      </c>
      <c r="F62" s="11" t="s">
        <v>286</v>
      </c>
      <c r="G62" s="11" t="s">
        <v>287</v>
      </c>
      <c r="H62" s="11" t="s">
        <v>107</v>
      </c>
      <c r="I62" s="11" t="s">
        <v>288</v>
      </c>
      <c r="J62" s="11" t="s">
        <v>289</v>
      </c>
      <c r="K62" s="11" t="s">
        <v>48</v>
      </c>
      <c r="L62" s="12" t="s">
        <v>290</v>
      </c>
    </row>
    <row r="63" customFormat="false" ht="32.8" hidden="false" customHeight="false" outlineLevel="0" collapsed="false">
      <c r="A63" s="11" t="n">
        <v>62</v>
      </c>
      <c r="B63" s="11" t="s">
        <v>73</v>
      </c>
      <c r="C63" s="11" t="s">
        <v>74</v>
      </c>
      <c r="D63" s="11" t="s">
        <v>267</v>
      </c>
      <c r="E63" s="11" t="s">
        <v>318</v>
      </c>
      <c r="F63" s="11"/>
      <c r="G63" s="11" t="s">
        <v>319</v>
      </c>
      <c r="H63" s="11" t="s">
        <v>107</v>
      </c>
      <c r="I63" s="11" t="s">
        <v>320</v>
      </c>
      <c r="J63" s="11" t="s">
        <v>321</v>
      </c>
      <c r="K63" s="11" t="s">
        <v>48</v>
      </c>
      <c r="L63" s="12" t="s">
        <v>322</v>
      </c>
    </row>
    <row r="64" customFormat="false" ht="22.35" hidden="false" customHeight="false" outlineLevel="0" collapsed="false">
      <c r="A64" s="11" t="n">
        <v>63</v>
      </c>
      <c r="B64" s="11" t="s">
        <v>73</v>
      </c>
      <c r="C64" s="11" t="s">
        <v>74</v>
      </c>
      <c r="D64" s="11" t="s">
        <v>267</v>
      </c>
      <c r="E64" s="11" t="s">
        <v>323</v>
      </c>
      <c r="F64" s="11"/>
      <c r="G64" s="11" t="s">
        <v>324</v>
      </c>
      <c r="H64" s="11" t="s">
        <v>325</v>
      </c>
      <c r="I64" s="11" t="s">
        <v>326</v>
      </c>
      <c r="J64" s="11" t="s">
        <v>327</v>
      </c>
      <c r="K64" s="11" t="s">
        <v>92</v>
      </c>
      <c r="L64" s="12" t="s">
        <v>328</v>
      </c>
    </row>
    <row r="65" customFormat="false" ht="32.8" hidden="false" customHeight="false" outlineLevel="0" collapsed="false">
      <c r="A65" s="11" t="n">
        <v>64</v>
      </c>
      <c r="B65" s="11" t="s">
        <v>73</v>
      </c>
      <c r="C65" s="11" t="s">
        <v>74</v>
      </c>
      <c r="D65" s="11" t="s">
        <v>267</v>
      </c>
      <c r="E65" s="11" t="s">
        <v>329</v>
      </c>
      <c r="F65" s="11"/>
      <c r="G65" s="11" t="s">
        <v>330</v>
      </c>
      <c r="H65" s="11" t="s">
        <v>170</v>
      </c>
      <c r="I65" s="11" t="s">
        <v>331</v>
      </c>
      <c r="J65" s="11" t="s">
        <v>332</v>
      </c>
      <c r="K65" s="11" t="s">
        <v>48</v>
      </c>
      <c r="L65" s="12" t="s">
        <v>333</v>
      </c>
    </row>
    <row r="66" customFormat="false" ht="32.8" hidden="false" customHeight="false" outlineLevel="0" collapsed="false">
      <c r="A66" s="11" t="n">
        <v>65</v>
      </c>
      <c r="B66" s="11" t="s">
        <v>73</v>
      </c>
      <c r="C66" s="11" t="s">
        <v>74</v>
      </c>
      <c r="D66" s="11" t="s">
        <v>267</v>
      </c>
      <c r="E66" s="11" t="s">
        <v>334</v>
      </c>
      <c r="F66" s="11"/>
      <c r="G66" s="11" t="s">
        <v>335</v>
      </c>
      <c r="H66" s="11" t="s">
        <v>308</v>
      </c>
      <c r="I66" s="11" t="s">
        <v>336</v>
      </c>
      <c r="J66" s="11" t="s">
        <v>337</v>
      </c>
      <c r="K66" s="11" t="s">
        <v>92</v>
      </c>
      <c r="L66" s="12" t="s">
        <v>338</v>
      </c>
    </row>
    <row r="67" customFormat="false" ht="32.8" hidden="false" customHeight="false" outlineLevel="0" collapsed="false">
      <c r="A67" s="11" t="n">
        <v>66</v>
      </c>
      <c r="B67" s="11" t="s">
        <v>50</v>
      </c>
      <c r="C67" s="11" t="s">
        <v>339</v>
      </c>
      <c r="D67" s="11" t="s">
        <v>267</v>
      </c>
      <c r="E67" s="11" t="s">
        <v>340</v>
      </c>
      <c r="F67" s="11" t="s">
        <v>340</v>
      </c>
      <c r="G67" s="11" t="s">
        <v>341</v>
      </c>
      <c r="H67" s="11" t="s">
        <v>152</v>
      </c>
      <c r="I67" s="11" t="s">
        <v>342</v>
      </c>
      <c r="J67" s="11" t="s">
        <v>343</v>
      </c>
      <c r="K67" s="11" t="s">
        <v>48</v>
      </c>
      <c r="L67" s="12" t="s">
        <v>344</v>
      </c>
    </row>
    <row r="68" customFormat="false" ht="32.8" hidden="false" customHeight="false" outlineLevel="0" collapsed="false">
      <c r="A68" s="11" t="n">
        <v>67</v>
      </c>
      <c r="B68" s="11" t="s">
        <v>73</v>
      </c>
      <c r="C68" s="11" t="s">
        <v>74</v>
      </c>
      <c r="D68" s="11" t="s">
        <v>267</v>
      </c>
      <c r="E68" s="11" t="s">
        <v>340</v>
      </c>
      <c r="F68" s="11"/>
      <c r="G68" s="11" t="s">
        <v>341</v>
      </c>
      <c r="H68" s="11" t="s">
        <v>152</v>
      </c>
      <c r="I68" s="11" t="s">
        <v>342</v>
      </c>
      <c r="J68" s="11" t="s">
        <v>343</v>
      </c>
      <c r="K68" s="11" t="s">
        <v>48</v>
      </c>
      <c r="L68" s="12" t="s">
        <v>344</v>
      </c>
    </row>
    <row r="69" customFormat="false" ht="15" hidden="false" customHeight="false" outlineLevel="0" collapsed="false">
      <c r="A69" s="11" t="n">
        <v>68</v>
      </c>
      <c r="B69" s="11" t="s">
        <v>50</v>
      </c>
      <c r="C69" s="11" t="s">
        <v>345</v>
      </c>
      <c r="D69" s="11" t="s">
        <v>267</v>
      </c>
      <c r="E69" s="11" t="s">
        <v>174</v>
      </c>
      <c r="F69" s="11" t="s">
        <v>174</v>
      </c>
      <c r="G69" s="11" t="s">
        <v>175</v>
      </c>
      <c r="H69" s="11" t="s">
        <v>176</v>
      </c>
      <c r="I69" s="11" t="s">
        <v>177</v>
      </c>
      <c r="J69" s="11" t="s">
        <v>178</v>
      </c>
      <c r="K69" s="11" t="s">
        <v>48</v>
      </c>
      <c r="L69" s="12" t="s">
        <v>179</v>
      </c>
    </row>
    <row r="70" customFormat="false" ht="22.35" hidden="false" customHeight="false" outlineLevel="0" collapsed="false">
      <c r="A70" s="11" t="n">
        <v>69</v>
      </c>
      <c r="B70" s="11" t="s">
        <v>73</v>
      </c>
      <c r="C70" s="11" t="s">
        <v>74</v>
      </c>
      <c r="D70" s="11" t="s">
        <v>267</v>
      </c>
      <c r="E70" s="11" t="s">
        <v>346</v>
      </c>
      <c r="F70" s="11"/>
      <c r="G70" s="11" t="s">
        <v>347</v>
      </c>
      <c r="H70" s="11" t="s">
        <v>170</v>
      </c>
      <c r="I70" s="11" t="s">
        <v>348</v>
      </c>
      <c r="J70" s="11" t="s">
        <v>349</v>
      </c>
      <c r="K70" s="11" t="s">
        <v>92</v>
      </c>
      <c r="L70" s="12" t="s">
        <v>350</v>
      </c>
    </row>
    <row r="71" customFormat="false" ht="22.35" hidden="false" customHeight="false" outlineLevel="0" collapsed="false">
      <c r="A71" s="11" t="n">
        <v>70</v>
      </c>
      <c r="B71" s="11" t="s">
        <v>73</v>
      </c>
      <c r="C71" s="11" t="s">
        <v>74</v>
      </c>
      <c r="D71" s="11" t="s">
        <v>267</v>
      </c>
      <c r="E71" s="11" t="s">
        <v>351</v>
      </c>
      <c r="F71" s="11"/>
      <c r="G71" s="11" t="s">
        <v>352</v>
      </c>
      <c r="H71" s="11" t="s">
        <v>308</v>
      </c>
      <c r="I71" s="11" t="s">
        <v>353</v>
      </c>
      <c r="J71" s="11" t="s">
        <v>354</v>
      </c>
      <c r="K71" s="11" t="s">
        <v>48</v>
      </c>
      <c r="L71" s="12" t="s">
        <v>355</v>
      </c>
    </row>
    <row r="72" customFormat="false" ht="22.35" hidden="false" customHeight="false" outlineLevel="0" collapsed="false">
      <c r="A72" s="11" t="n">
        <v>71</v>
      </c>
      <c r="B72" s="11" t="s">
        <v>73</v>
      </c>
      <c r="C72" s="11" t="s">
        <v>74</v>
      </c>
      <c r="D72" s="11" t="s">
        <v>267</v>
      </c>
      <c r="E72" s="11" t="s">
        <v>356</v>
      </c>
      <c r="F72" s="11"/>
      <c r="G72" s="11" t="s">
        <v>307</v>
      </c>
      <c r="H72" s="11" t="s">
        <v>152</v>
      </c>
      <c r="I72" s="11" t="s">
        <v>357</v>
      </c>
      <c r="J72" s="11" t="s">
        <v>358</v>
      </c>
      <c r="K72" s="11" t="s">
        <v>92</v>
      </c>
      <c r="L72" s="12" t="s">
        <v>359</v>
      </c>
    </row>
    <row r="73" customFormat="false" ht="22.35" hidden="false" customHeight="false" outlineLevel="0" collapsed="false">
      <c r="A73" s="11" t="n">
        <v>72</v>
      </c>
      <c r="B73" s="11" t="s">
        <v>50</v>
      </c>
      <c r="C73" s="11" t="s">
        <v>360</v>
      </c>
      <c r="D73" s="11" t="s">
        <v>267</v>
      </c>
      <c r="E73" s="11" t="s">
        <v>230</v>
      </c>
      <c r="F73" s="11" t="s">
        <v>230</v>
      </c>
      <c r="G73" s="11" t="s">
        <v>231</v>
      </c>
      <c r="H73" s="11" t="s">
        <v>45</v>
      </c>
      <c r="I73" s="11" t="s">
        <v>232</v>
      </c>
      <c r="J73" s="11" t="s">
        <v>233</v>
      </c>
      <c r="K73" s="11" t="s">
        <v>48</v>
      </c>
      <c r="L73" s="12" t="s">
        <v>234</v>
      </c>
    </row>
    <row r="74" customFormat="false" ht="32.8" hidden="false" customHeight="false" outlineLevel="0" collapsed="false">
      <c r="A74" s="11" t="n">
        <v>73</v>
      </c>
      <c r="B74" s="11" t="s">
        <v>73</v>
      </c>
      <c r="C74" s="11" t="s">
        <v>74</v>
      </c>
      <c r="D74" s="11" t="s">
        <v>267</v>
      </c>
      <c r="E74" s="11" t="s">
        <v>361</v>
      </c>
      <c r="F74" s="11"/>
      <c r="G74" s="11" t="s">
        <v>362</v>
      </c>
      <c r="H74" s="11" t="s">
        <v>176</v>
      </c>
      <c r="I74" s="11" t="s">
        <v>363</v>
      </c>
      <c r="J74" s="11" t="s">
        <v>364</v>
      </c>
      <c r="K74" s="11" t="s">
        <v>48</v>
      </c>
      <c r="L74" s="12" t="s">
        <v>365</v>
      </c>
    </row>
    <row r="75" customFormat="false" ht="22.35" hidden="false" customHeight="false" outlineLevel="0" collapsed="false">
      <c r="A75" s="11" t="n">
        <v>74</v>
      </c>
      <c r="B75" s="11" t="s">
        <v>73</v>
      </c>
      <c r="C75" s="11" t="s">
        <v>74</v>
      </c>
      <c r="D75" s="11" t="s">
        <v>267</v>
      </c>
      <c r="E75" s="11" t="s">
        <v>366</v>
      </c>
      <c r="F75" s="11"/>
      <c r="G75" s="11" t="s">
        <v>367</v>
      </c>
      <c r="H75" s="11" t="s">
        <v>45</v>
      </c>
      <c r="I75" s="11" t="s">
        <v>368</v>
      </c>
      <c r="J75" s="11" t="s">
        <v>369</v>
      </c>
      <c r="K75" s="11" t="s">
        <v>92</v>
      </c>
      <c r="L75" s="12" t="s">
        <v>370</v>
      </c>
    </row>
    <row r="76" customFormat="false" ht="22.35" hidden="false" customHeight="false" outlineLevel="0" collapsed="false">
      <c r="A76" s="11" t="n">
        <v>75</v>
      </c>
      <c r="B76" s="11" t="s">
        <v>73</v>
      </c>
      <c r="C76" s="11" t="s">
        <v>74</v>
      </c>
      <c r="D76" s="11" t="s">
        <v>267</v>
      </c>
      <c r="E76" s="11" t="s">
        <v>371</v>
      </c>
      <c r="F76" s="11"/>
      <c r="G76" s="11" t="s">
        <v>372</v>
      </c>
      <c r="H76" s="11" t="s">
        <v>45</v>
      </c>
      <c r="I76" s="11" t="s">
        <v>373</v>
      </c>
      <c r="J76" s="11" t="s">
        <v>374</v>
      </c>
      <c r="K76" s="11" t="s">
        <v>254</v>
      </c>
      <c r="L76" s="12" t="s">
        <v>375</v>
      </c>
    </row>
    <row r="77" customFormat="false" ht="32.8" hidden="false" customHeight="false" outlineLevel="0" collapsed="false">
      <c r="A77" s="11" t="n">
        <v>76</v>
      </c>
      <c r="B77" s="11" t="s">
        <v>73</v>
      </c>
      <c r="C77" s="11" t="s">
        <v>74</v>
      </c>
      <c r="D77" s="11" t="s">
        <v>267</v>
      </c>
      <c r="E77" s="11" t="s">
        <v>376</v>
      </c>
      <c r="F77" s="11"/>
      <c r="G77" s="11" t="s">
        <v>377</v>
      </c>
      <c r="H77" s="11" t="s">
        <v>135</v>
      </c>
      <c r="I77" s="11" t="s">
        <v>378</v>
      </c>
      <c r="J77" s="11" t="s">
        <v>379</v>
      </c>
      <c r="K77" s="11" t="s">
        <v>48</v>
      </c>
      <c r="L77" s="12" t="s">
        <v>380</v>
      </c>
    </row>
    <row r="78" customFormat="false" ht="32.8" hidden="false" customHeight="false" outlineLevel="0" collapsed="false">
      <c r="A78" s="11" t="n">
        <v>77</v>
      </c>
      <c r="B78" s="11" t="s">
        <v>73</v>
      </c>
      <c r="C78" s="11" t="s">
        <v>74</v>
      </c>
      <c r="D78" s="11" t="s">
        <v>267</v>
      </c>
      <c r="E78" s="11" t="s">
        <v>381</v>
      </c>
      <c r="F78" s="11"/>
      <c r="G78" s="11" t="s">
        <v>382</v>
      </c>
      <c r="H78" s="11" t="s">
        <v>45</v>
      </c>
      <c r="I78" s="11" t="s">
        <v>383</v>
      </c>
      <c r="J78" s="11" t="s">
        <v>384</v>
      </c>
      <c r="K78" s="11" t="s">
        <v>385</v>
      </c>
      <c r="L78" s="12" t="s">
        <v>386</v>
      </c>
    </row>
    <row r="79" customFormat="false" ht="22.35" hidden="false" customHeight="false" outlineLevel="0" collapsed="false">
      <c r="A79" s="11" t="n">
        <v>78</v>
      </c>
      <c r="B79" s="11" t="s">
        <v>73</v>
      </c>
      <c r="C79" s="11" t="s">
        <v>74</v>
      </c>
      <c r="D79" s="11" t="s">
        <v>267</v>
      </c>
      <c r="E79" s="11" t="s">
        <v>387</v>
      </c>
      <c r="F79" s="11"/>
      <c r="G79" s="11" t="s">
        <v>388</v>
      </c>
      <c r="H79" s="11" t="s">
        <v>45</v>
      </c>
      <c r="I79" s="11" t="s">
        <v>389</v>
      </c>
      <c r="J79" s="11" t="s">
        <v>390</v>
      </c>
      <c r="K79" s="11" t="s">
        <v>48</v>
      </c>
      <c r="L79" s="12" t="s">
        <v>391</v>
      </c>
    </row>
    <row r="80" customFormat="false" ht="22.35" hidden="false" customHeight="false" outlineLevel="0" collapsed="false">
      <c r="A80" s="11" t="n">
        <v>79</v>
      </c>
      <c r="B80" s="11" t="s">
        <v>180</v>
      </c>
      <c r="C80" s="11" t="s">
        <v>181</v>
      </c>
      <c r="D80" s="11" t="s">
        <v>267</v>
      </c>
      <c r="E80" s="11" t="s">
        <v>392</v>
      </c>
      <c r="F80" s="11"/>
      <c r="G80" s="11" t="s">
        <v>393</v>
      </c>
      <c r="H80" s="11" t="s">
        <v>84</v>
      </c>
      <c r="I80" s="11" t="s">
        <v>394</v>
      </c>
      <c r="J80" s="11" t="s">
        <v>395</v>
      </c>
      <c r="K80" s="11" t="s">
        <v>48</v>
      </c>
      <c r="L80" s="12" t="s">
        <v>396</v>
      </c>
    </row>
    <row r="81" customFormat="false" ht="22.35" hidden="false" customHeight="false" outlineLevel="0" collapsed="false">
      <c r="A81" s="11" t="n">
        <v>80</v>
      </c>
      <c r="B81" s="11" t="s">
        <v>50</v>
      </c>
      <c r="C81" s="11" t="s">
        <v>397</v>
      </c>
      <c r="D81" s="11" t="s">
        <v>398</v>
      </c>
      <c r="E81" s="11" t="s">
        <v>58</v>
      </c>
      <c r="F81" s="11" t="s">
        <v>58</v>
      </c>
      <c r="G81" s="11" t="s">
        <v>59</v>
      </c>
      <c r="H81" s="11" t="s">
        <v>60</v>
      </c>
      <c r="I81" s="11" t="s">
        <v>61</v>
      </c>
      <c r="J81" s="11" t="s">
        <v>56</v>
      </c>
      <c r="K81" s="11" t="s">
        <v>48</v>
      </c>
      <c r="L81" s="12" t="s">
        <v>62</v>
      </c>
    </row>
    <row r="82" customFormat="false" ht="22.35" hidden="false" customHeight="false" outlineLevel="0" collapsed="false">
      <c r="A82" s="11" t="n">
        <v>81</v>
      </c>
      <c r="B82" s="11" t="s">
        <v>50</v>
      </c>
      <c r="C82" s="11" t="s">
        <v>399</v>
      </c>
      <c r="D82" s="11" t="s">
        <v>398</v>
      </c>
      <c r="E82" s="11" t="s">
        <v>291</v>
      </c>
      <c r="F82" s="11" t="s">
        <v>291</v>
      </c>
      <c r="G82" s="11" t="s">
        <v>292</v>
      </c>
      <c r="H82" s="11" t="s">
        <v>176</v>
      </c>
      <c r="I82" s="11" t="s">
        <v>293</v>
      </c>
      <c r="J82" s="11" t="s">
        <v>294</v>
      </c>
      <c r="K82" s="11" t="s">
        <v>295</v>
      </c>
      <c r="L82" s="11"/>
    </row>
    <row r="83" customFormat="false" ht="32.8" hidden="false" customHeight="false" outlineLevel="0" collapsed="false">
      <c r="A83" s="11" t="n">
        <v>82</v>
      </c>
      <c r="B83" s="11" t="s">
        <v>25</v>
      </c>
      <c r="C83" s="11" t="s">
        <v>400</v>
      </c>
      <c r="D83" s="11" t="s">
        <v>398</v>
      </c>
      <c r="E83" s="11" t="s">
        <v>401</v>
      </c>
      <c r="F83" s="11"/>
      <c r="G83" s="11" t="s">
        <v>402</v>
      </c>
      <c r="H83" s="11" t="s">
        <v>84</v>
      </c>
      <c r="I83" s="11" t="s">
        <v>403</v>
      </c>
      <c r="J83" s="11" t="s">
        <v>404</v>
      </c>
      <c r="K83" s="11" t="s">
        <v>405</v>
      </c>
      <c r="L83" s="11"/>
    </row>
    <row r="84" customFormat="false" ht="22.35" hidden="false" customHeight="false" outlineLevel="0" collapsed="false">
      <c r="A84" s="11" t="n">
        <v>83</v>
      </c>
      <c r="B84" s="11" t="s">
        <v>73</v>
      </c>
      <c r="C84" s="11" t="s">
        <v>74</v>
      </c>
      <c r="D84" s="11" t="s">
        <v>398</v>
      </c>
      <c r="E84" s="11" t="s">
        <v>406</v>
      </c>
      <c r="F84" s="11"/>
      <c r="G84" s="11" t="s">
        <v>407</v>
      </c>
      <c r="H84" s="11" t="s">
        <v>189</v>
      </c>
      <c r="I84" s="11" t="s">
        <v>408</v>
      </c>
      <c r="J84" s="11" t="s">
        <v>47</v>
      </c>
      <c r="K84" s="11" t="s">
        <v>254</v>
      </c>
      <c r="L84" s="12" t="s">
        <v>409</v>
      </c>
    </row>
    <row r="85" customFormat="false" ht="22.35" hidden="false" customHeight="false" outlineLevel="0" collapsed="false">
      <c r="A85" s="11" t="n">
        <v>84</v>
      </c>
      <c r="B85" s="11" t="s">
        <v>25</v>
      </c>
      <c r="C85" s="11" t="s">
        <v>410</v>
      </c>
      <c r="D85" s="11" t="s">
        <v>398</v>
      </c>
      <c r="E85" s="11" t="s">
        <v>411</v>
      </c>
      <c r="F85" s="11"/>
      <c r="G85" s="11" t="s">
        <v>412</v>
      </c>
      <c r="H85" s="11" t="s">
        <v>77</v>
      </c>
      <c r="I85" s="11" t="s">
        <v>413</v>
      </c>
      <c r="J85" s="11" t="s">
        <v>414</v>
      </c>
      <c r="K85" s="11" t="s">
        <v>415</v>
      </c>
      <c r="L85" s="12" t="s">
        <v>416</v>
      </c>
    </row>
    <row r="86" customFormat="false" ht="22.35" hidden="false" customHeight="false" outlineLevel="0" collapsed="false">
      <c r="A86" s="11" t="n">
        <v>85</v>
      </c>
      <c r="B86" s="11" t="s">
        <v>25</v>
      </c>
      <c r="C86" s="11" t="s">
        <v>410</v>
      </c>
      <c r="D86" s="11" t="s">
        <v>398</v>
      </c>
      <c r="E86" s="11" t="s">
        <v>417</v>
      </c>
      <c r="F86" s="11"/>
      <c r="G86" s="11" t="s">
        <v>418</v>
      </c>
      <c r="H86" s="11" t="s">
        <v>189</v>
      </c>
      <c r="I86" s="11" t="s">
        <v>419</v>
      </c>
      <c r="J86" s="11" t="s">
        <v>418</v>
      </c>
      <c r="K86" s="11" t="s">
        <v>420</v>
      </c>
      <c r="L86" s="11"/>
    </row>
    <row r="87" customFormat="false" ht="22.35" hidden="false" customHeight="false" outlineLevel="0" collapsed="false">
      <c r="A87" s="11" t="n">
        <v>86</v>
      </c>
      <c r="B87" s="11" t="s">
        <v>25</v>
      </c>
      <c r="C87" s="11" t="s">
        <v>410</v>
      </c>
      <c r="D87" s="11" t="s">
        <v>398</v>
      </c>
      <c r="E87" s="11" t="s">
        <v>421</v>
      </c>
      <c r="F87" s="11"/>
      <c r="G87" s="11" t="s">
        <v>418</v>
      </c>
      <c r="H87" s="11" t="s">
        <v>84</v>
      </c>
      <c r="I87" s="11" t="s">
        <v>422</v>
      </c>
      <c r="J87" s="11" t="s">
        <v>418</v>
      </c>
      <c r="K87" s="11" t="s">
        <v>420</v>
      </c>
      <c r="L87" s="11"/>
    </row>
    <row r="88" customFormat="false" ht="22.35" hidden="false" customHeight="false" outlineLevel="0" collapsed="false">
      <c r="A88" s="11" t="n">
        <v>87</v>
      </c>
      <c r="B88" s="11" t="s">
        <v>25</v>
      </c>
      <c r="C88" s="11" t="s">
        <v>410</v>
      </c>
      <c r="D88" s="11" t="s">
        <v>398</v>
      </c>
      <c r="E88" s="11" t="s">
        <v>423</v>
      </c>
      <c r="F88" s="11"/>
      <c r="G88" s="11" t="s">
        <v>424</v>
      </c>
      <c r="H88" s="11"/>
      <c r="I88" s="11" t="s">
        <v>425</v>
      </c>
      <c r="J88" s="11" t="s">
        <v>426</v>
      </c>
      <c r="K88" s="11" t="s">
        <v>427</v>
      </c>
      <c r="L88" s="11"/>
    </row>
    <row r="89" customFormat="false" ht="32.8" hidden="false" customHeight="false" outlineLevel="0" collapsed="false">
      <c r="A89" s="11" t="n">
        <v>88</v>
      </c>
      <c r="B89" s="11" t="s">
        <v>25</v>
      </c>
      <c r="C89" s="11" t="s">
        <v>144</v>
      </c>
      <c r="D89" s="11" t="s">
        <v>398</v>
      </c>
      <c r="E89" s="11" t="s">
        <v>428</v>
      </c>
      <c r="F89" s="11"/>
      <c r="G89" s="11" t="s">
        <v>429</v>
      </c>
      <c r="H89" s="11" t="s">
        <v>107</v>
      </c>
      <c r="I89" s="11" t="s">
        <v>430</v>
      </c>
      <c r="J89" s="11" t="s">
        <v>431</v>
      </c>
      <c r="K89" s="11" t="s">
        <v>432</v>
      </c>
      <c r="L89" s="11"/>
    </row>
    <row r="90" customFormat="false" ht="22.35" hidden="false" customHeight="false" outlineLevel="0" collapsed="false">
      <c r="A90" s="11" t="n">
        <v>89</v>
      </c>
      <c r="B90" s="11" t="s">
        <v>50</v>
      </c>
      <c r="C90" s="11" t="s">
        <v>433</v>
      </c>
      <c r="D90" s="11" t="s">
        <v>398</v>
      </c>
      <c r="E90" s="11" t="s">
        <v>133</v>
      </c>
      <c r="F90" s="11" t="s">
        <v>133</v>
      </c>
      <c r="G90" s="11" t="s">
        <v>134</v>
      </c>
      <c r="H90" s="11" t="s">
        <v>135</v>
      </c>
      <c r="I90" s="11" t="s">
        <v>136</v>
      </c>
      <c r="J90" s="11" t="s">
        <v>137</v>
      </c>
      <c r="K90" s="11" t="s">
        <v>48</v>
      </c>
      <c r="L90" s="12" t="s">
        <v>138</v>
      </c>
    </row>
    <row r="91" customFormat="false" ht="22.35" hidden="false" customHeight="false" outlineLevel="0" collapsed="false">
      <c r="A91" s="11" t="n">
        <v>90</v>
      </c>
      <c r="B91" s="11" t="s">
        <v>50</v>
      </c>
      <c r="C91" s="11" t="s">
        <v>434</v>
      </c>
      <c r="D91" s="11" t="s">
        <v>398</v>
      </c>
      <c r="E91" s="11" t="s">
        <v>163</v>
      </c>
      <c r="F91" s="11" t="s">
        <v>163</v>
      </c>
      <c r="G91" s="11" t="s">
        <v>164</v>
      </c>
      <c r="H91" s="11" t="s">
        <v>118</v>
      </c>
      <c r="I91" s="11" t="s">
        <v>165</v>
      </c>
      <c r="J91" s="11" t="s">
        <v>166</v>
      </c>
      <c r="K91" s="11" t="s">
        <v>48</v>
      </c>
      <c r="L91" s="12" t="s">
        <v>167</v>
      </c>
    </row>
    <row r="92" customFormat="false" ht="32.8" hidden="false" customHeight="false" outlineLevel="0" collapsed="false">
      <c r="A92" s="11" t="n">
        <v>91</v>
      </c>
      <c r="B92" s="11" t="s">
        <v>50</v>
      </c>
      <c r="C92" s="11" t="s">
        <v>339</v>
      </c>
      <c r="D92" s="11" t="s">
        <v>398</v>
      </c>
      <c r="E92" s="11" t="s">
        <v>340</v>
      </c>
      <c r="F92" s="11" t="s">
        <v>340</v>
      </c>
      <c r="G92" s="11" t="s">
        <v>341</v>
      </c>
      <c r="H92" s="11" t="s">
        <v>152</v>
      </c>
      <c r="I92" s="11" t="s">
        <v>342</v>
      </c>
      <c r="J92" s="11" t="s">
        <v>343</v>
      </c>
      <c r="K92" s="11" t="s">
        <v>48</v>
      </c>
      <c r="L92" s="12" t="s">
        <v>344</v>
      </c>
    </row>
    <row r="93" customFormat="false" ht="32.8" hidden="false" customHeight="false" outlineLevel="0" collapsed="false">
      <c r="A93" s="11" t="n">
        <v>92</v>
      </c>
      <c r="B93" s="11" t="s">
        <v>50</v>
      </c>
      <c r="C93" s="11" t="s">
        <v>339</v>
      </c>
      <c r="D93" s="11" t="s">
        <v>398</v>
      </c>
      <c r="E93" s="11" t="s">
        <v>340</v>
      </c>
      <c r="F93" s="11" t="s">
        <v>340</v>
      </c>
      <c r="G93" s="11" t="s">
        <v>341</v>
      </c>
      <c r="H93" s="11" t="s">
        <v>152</v>
      </c>
      <c r="I93" s="11" t="s">
        <v>342</v>
      </c>
      <c r="J93" s="11" t="s">
        <v>343</v>
      </c>
      <c r="K93" s="11" t="s">
        <v>48</v>
      </c>
      <c r="L93" s="12" t="s">
        <v>344</v>
      </c>
    </row>
    <row r="94" customFormat="false" ht="15" hidden="false" customHeight="false" outlineLevel="0" collapsed="false">
      <c r="A94" s="11" t="n">
        <v>93</v>
      </c>
      <c r="B94" s="11" t="s">
        <v>50</v>
      </c>
      <c r="C94" s="11" t="s">
        <v>345</v>
      </c>
      <c r="D94" s="11" t="s">
        <v>398</v>
      </c>
      <c r="E94" s="11" t="s">
        <v>174</v>
      </c>
      <c r="F94" s="11" t="s">
        <v>174</v>
      </c>
      <c r="G94" s="11" t="s">
        <v>175</v>
      </c>
      <c r="H94" s="11" t="s">
        <v>176</v>
      </c>
      <c r="I94" s="11" t="s">
        <v>177</v>
      </c>
      <c r="J94" s="11" t="s">
        <v>178</v>
      </c>
      <c r="K94" s="11" t="s">
        <v>48</v>
      </c>
      <c r="L94" s="12" t="s">
        <v>179</v>
      </c>
    </row>
    <row r="95" customFormat="false" ht="22.35" hidden="false" customHeight="false" outlineLevel="0" collapsed="false">
      <c r="A95" s="11" t="n">
        <v>94</v>
      </c>
      <c r="B95" s="11" t="s">
        <v>50</v>
      </c>
      <c r="C95" s="11" t="s">
        <v>435</v>
      </c>
      <c r="D95" s="11" t="s">
        <v>398</v>
      </c>
      <c r="E95" s="11" t="s">
        <v>158</v>
      </c>
      <c r="F95" s="11" t="s">
        <v>158</v>
      </c>
      <c r="G95" s="11" t="s">
        <v>159</v>
      </c>
      <c r="H95" s="11" t="s">
        <v>198</v>
      </c>
      <c r="I95" s="11" t="s">
        <v>160</v>
      </c>
      <c r="J95" s="11" t="s">
        <v>199</v>
      </c>
      <c r="K95" s="11" t="s">
        <v>200</v>
      </c>
      <c r="L95" s="12" t="s">
        <v>201</v>
      </c>
    </row>
    <row r="96" customFormat="false" ht="22.35" hidden="false" customHeight="false" outlineLevel="0" collapsed="false">
      <c r="A96" s="11" t="n">
        <v>95</v>
      </c>
      <c r="B96" s="11" t="s">
        <v>25</v>
      </c>
      <c r="C96" s="11" t="s">
        <v>400</v>
      </c>
      <c r="D96" s="11" t="s">
        <v>398</v>
      </c>
      <c r="E96" s="11" t="s">
        <v>436</v>
      </c>
      <c r="F96" s="11"/>
      <c r="G96" s="11" t="s">
        <v>437</v>
      </c>
      <c r="H96" s="11" t="s">
        <v>135</v>
      </c>
      <c r="I96" s="11" t="s">
        <v>438</v>
      </c>
      <c r="J96" s="11" t="s">
        <v>439</v>
      </c>
      <c r="K96" s="11" t="s">
        <v>440</v>
      </c>
      <c r="L96" s="11"/>
    </row>
    <row r="97" customFormat="false" ht="32.8" hidden="false" customHeight="false" outlineLevel="0" collapsed="false">
      <c r="A97" s="11" t="n">
        <v>96</v>
      </c>
      <c r="B97" s="11" t="s">
        <v>25</v>
      </c>
      <c r="C97" s="11" t="s">
        <v>400</v>
      </c>
      <c r="D97" s="11" t="s">
        <v>398</v>
      </c>
      <c r="E97" s="11" t="s">
        <v>441</v>
      </c>
      <c r="F97" s="11"/>
      <c r="G97" s="11" t="s">
        <v>442</v>
      </c>
      <c r="H97" s="11" t="s">
        <v>107</v>
      </c>
      <c r="I97" s="11" t="s">
        <v>443</v>
      </c>
      <c r="J97" s="11" t="s">
        <v>444</v>
      </c>
      <c r="K97" s="11" t="s">
        <v>445</v>
      </c>
      <c r="L97" s="12" t="s">
        <v>446</v>
      </c>
    </row>
    <row r="98" customFormat="false" ht="22.35" hidden="false" customHeight="false" outlineLevel="0" collapsed="false">
      <c r="A98" s="11" t="n">
        <v>97</v>
      </c>
      <c r="B98" s="11" t="s">
        <v>25</v>
      </c>
      <c r="C98" s="11" t="s">
        <v>400</v>
      </c>
      <c r="D98" s="11" t="s">
        <v>398</v>
      </c>
      <c r="E98" s="11" t="s">
        <v>447</v>
      </c>
      <c r="F98" s="11"/>
      <c r="G98" s="11" t="s">
        <v>448</v>
      </c>
      <c r="H98" s="11" t="s">
        <v>449</v>
      </c>
      <c r="I98" s="11" t="s">
        <v>450</v>
      </c>
      <c r="J98" s="11" t="s">
        <v>444</v>
      </c>
      <c r="K98" s="11" t="s">
        <v>451</v>
      </c>
      <c r="L98" s="12" t="s">
        <v>452</v>
      </c>
    </row>
    <row r="99" customFormat="false" ht="22.35" hidden="false" customHeight="false" outlineLevel="0" collapsed="false">
      <c r="A99" s="11" t="n">
        <v>98</v>
      </c>
      <c r="B99" s="11" t="s">
        <v>25</v>
      </c>
      <c r="C99" s="11" t="s">
        <v>453</v>
      </c>
      <c r="D99" s="11" t="s">
        <v>398</v>
      </c>
      <c r="E99" s="11" t="s">
        <v>454</v>
      </c>
      <c r="F99" s="11" t="s">
        <v>406</v>
      </c>
      <c r="G99" s="11" t="s">
        <v>407</v>
      </c>
      <c r="H99" s="11" t="s">
        <v>189</v>
      </c>
      <c r="I99" s="11" t="s">
        <v>408</v>
      </c>
      <c r="J99" s="11" t="s">
        <v>47</v>
      </c>
      <c r="K99" s="11" t="s">
        <v>254</v>
      </c>
      <c r="L99" s="12" t="s">
        <v>409</v>
      </c>
    </row>
    <row r="100" customFormat="false" ht="22.35" hidden="false" customHeight="false" outlineLevel="0" collapsed="false">
      <c r="A100" s="11" t="n">
        <v>99</v>
      </c>
      <c r="B100" s="11" t="s">
        <v>25</v>
      </c>
      <c r="C100" s="11" t="s">
        <v>410</v>
      </c>
      <c r="D100" s="11" t="s">
        <v>398</v>
      </c>
      <c r="E100" s="11" t="s">
        <v>455</v>
      </c>
      <c r="F100" s="11"/>
      <c r="G100" s="11" t="s">
        <v>418</v>
      </c>
      <c r="H100" s="11" t="s">
        <v>135</v>
      </c>
      <c r="I100" s="11" t="s">
        <v>456</v>
      </c>
      <c r="J100" s="11" t="s">
        <v>418</v>
      </c>
      <c r="K100" s="11" t="s">
        <v>420</v>
      </c>
      <c r="L100" s="11"/>
    </row>
    <row r="101" customFormat="false" ht="32.8" hidden="false" customHeight="false" outlineLevel="0" collapsed="false">
      <c r="A101" s="11" t="n">
        <v>100</v>
      </c>
      <c r="B101" s="11" t="s">
        <v>50</v>
      </c>
      <c r="C101" s="11" t="s">
        <v>457</v>
      </c>
      <c r="D101" s="11" t="s">
        <v>398</v>
      </c>
      <c r="E101" s="11" t="s">
        <v>361</v>
      </c>
      <c r="F101" s="11" t="s">
        <v>361</v>
      </c>
      <c r="G101" s="11" t="s">
        <v>362</v>
      </c>
      <c r="H101" s="11" t="s">
        <v>176</v>
      </c>
      <c r="I101" s="11" t="s">
        <v>363</v>
      </c>
      <c r="J101" s="11" t="s">
        <v>364</v>
      </c>
      <c r="K101" s="11" t="s">
        <v>48</v>
      </c>
      <c r="L101" s="12" t="s">
        <v>365</v>
      </c>
    </row>
    <row r="102" customFormat="false" ht="22.35" hidden="false" customHeight="false" outlineLevel="0" collapsed="false">
      <c r="A102" s="11" t="n">
        <v>101</v>
      </c>
      <c r="B102" s="11" t="s">
        <v>50</v>
      </c>
      <c r="C102" s="11" t="s">
        <v>458</v>
      </c>
      <c r="D102" s="11" t="s">
        <v>398</v>
      </c>
      <c r="E102" s="11" t="s">
        <v>246</v>
      </c>
      <c r="F102" s="11" t="s">
        <v>246</v>
      </c>
      <c r="G102" s="11" t="s">
        <v>247</v>
      </c>
      <c r="H102" s="11" t="s">
        <v>176</v>
      </c>
      <c r="I102" s="11" t="s">
        <v>248</v>
      </c>
      <c r="J102" s="11" t="s">
        <v>191</v>
      </c>
      <c r="K102" s="11" t="s">
        <v>48</v>
      </c>
      <c r="L102" s="12" t="s">
        <v>249</v>
      </c>
    </row>
    <row r="103" customFormat="false" ht="32.8" hidden="false" customHeight="false" outlineLevel="0" collapsed="false">
      <c r="A103" s="11" t="n">
        <v>102</v>
      </c>
      <c r="B103" s="11" t="s">
        <v>459</v>
      </c>
      <c r="C103" s="11" t="s">
        <v>460</v>
      </c>
      <c r="D103" s="11" t="s">
        <v>461</v>
      </c>
      <c r="E103" s="11"/>
      <c r="F103" s="11"/>
      <c r="G103" s="11" t="s">
        <v>462</v>
      </c>
      <c r="H103" s="11" t="s">
        <v>189</v>
      </c>
      <c r="I103" s="11" t="s">
        <v>463</v>
      </c>
      <c r="J103" s="11" t="s">
        <v>464</v>
      </c>
      <c r="K103" s="11" t="s">
        <v>92</v>
      </c>
      <c r="L103" s="11"/>
    </row>
    <row r="104" customFormat="false" ht="22.35" hidden="false" customHeight="false" outlineLevel="0" collapsed="false">
      <c r="A104" s="11" t="n">
        <v>103</v>
      </c>
      <c r="B104" s="11" t="s">
        <v>459</v>
      </c>
      <c r="C104" s="11" t="s">
        <v>460</v>
      </c>
      <c r="D104" s="11" t="s">
        <v>461</v>
      </c>
      <c r="E104" s="11"/>
      <c r="F104" s="11"/>
      <c r="G104" s="11" t="s">
        <v>465</v>
      </c>
      <c r="H104" s="11" t="s">
        <v>216</v>
      </c>
      <c r="I104" s="11" t="s">
        <v>466</v>
      </c>
      <c r="J104" s="11" t="s">
        <v>467</v>
      </c>
      <c r="K104" s="11" t="s">
        <v>468</v>
      </c>
      <c r="L104" s="11"/>
    </row>
    <row r="105" customFormat="false" ht="22.35" hidden="false" customHeight="false" outlineLevel="0" collapsed="false">
      <c r="A105" s="11" t="n">
        <v>104</v>
      </c>
      <c r="B105" s="11" t="s">
        <v>459</v>
      </c>
      <c r="C105" s="11" t="s">
        <v>460</v>
      </c>
      <c r="D105" s="11" t="s">
        <v>461</v>
      </c>
      <c r="E105" s="11"/>
      <c r="F105" s="11"/>
      <c r="G105" s="11" t="s">
        <v>469</v>
      </c>
      <c r="H105" s="11" t="s">
        <v>45</v>
      </c>
      <c r="I105" s="11" t="s">
        <v>470</v>
      </c>
      <c r="J105" s="11" t="s">
        <v>471</v>
      </c>
      <c r="K105" s="11" t="s">
        <v>48</v>
      </c>
      <c r="L105" s="11"/>
    </row>
    <row r="106" customFormat="false" ht="22.35" hidden="false" customHeight="false" outlineLevel="0" collapsed="false">
      <c r="A106" s="11" t="n">
        <v>105</v>
      </c>
      <c r="B106" s="11" t="s">
        <v>459</v>
      </c>
      <c r="C106" s="11" t="s">
        <v>460</v>
      </c>
      <c r="D106" s="11" t="s">
        <v>461</v>
      </c>
      <c r="E106" s="11"/>
      <c r="F106" s="11"/>
      <c r="G106" s="11" t="s">
        <v>472</v>
      </c>
      <c r="H106" s="11" t="s">
        <v>45</v>
      </c>
      <c r="I106" s="11" t="s">
        <v>473</v>
      </c>
      <c r="J106" s="11" t="s">
        <v>474</v>
      </c>
      <c r="K106" s="11" t="s">
        <v>48</v>
      </c>
      <c r="L106" s="11"/>
    </row>
    <row r="107" customFormat="false" ht="22.35" hidden="false" customHeight="false" outlineLevel="0" collapsed="false">
      <c r="A107" s="11" t="n">
        <v>106</v>
      </c>
      <c r="B107" s="11" t="s">
        <v>459</v>
      </c>
      <c r="C107" s="11" t="s">
        <v>460</v>
      </c>
      <c r="D107" s="11" t="s">
        <v>461</v>
      </c>
      <c r="E107" s="11"/>
      <c r="F107" s="11"/>
      <c r="G107" s="11" t="s">
        <v>475</v>
      </c>
      <c r="H107" s="11" t="s">
        <v>118</v>
      </c>
      <c r="I107" s="11" t="s">
        <v>476</v>
      </c>
      <c r="J107" s="11" t="s">
        <v>477</v>
      </c>
      <c r="K107" s="11" t="s">
        <v>48</v>
      </c>
      <c r="L107" s="11"/>
    </row>
    <row r="108" customFormat="false" ht="22.35" hidden="false" customHeight="false" outlineLevel="0" collapsed="false">
      <c r="A108" s="11" t="n">
        <v>107</v>
      </c>
      <c r="B108" s="11" t="s">
        <v>459</v>
      </c>
      <c r="C108" s="11" t="s">
        <v>460</v>
      </c>
      <c r="D108" s="11" t="s">
        <v>461</v>
      </c>
      <c r="E108" s="11"/>
      <c r="F108" s="11"/>
      <c r="G108" s="11" t="s">
        <v>478</v>
      </c>
      <c r="H108" s="11" t="s">
        <v>325</v>
      </c>
      <c r="I108" s="11" t="s">
        <v>479</v>
      </c>
      <c r="J108" s="11" t="s">
        <v>480</v>
      </c>
      <c r="K108" s="11" t="s">
        <v>48</v>
      </c>
      <c r="L108" s="11"/>
    </row>
    <row r="109" customFormat="false" ht="22.35" hidden="false" customHeight="false" outlineLevel="0" collapsed="false">
      <c r="A109" s="11" t="n">
        <v>108</v>
      </c>
      <c r="B109" s="11" t="s">
        <v>459</v>
      </c>
      <c r="C109" s="11" t="s">
        <v>460</v>
      </c>
      <c r="D109" s="11" t="s">
        <v>461</v>
      </c>
      <c r="E109" s="11"/>
      <c r="F109" s="11" t="s">
        <v>168</v>
      </c>
      <c r="G109" s="11" t="s">
        <v>481</v>
      </c>
      <c r="H109" s="11" t="s">
        <v>170</v>
      </c>
      <c r="I109" s="11" t="s">
        <v>482</v>
      </c>
      <c r="J109" s="11" t="s">
        <v>172</v>
      </c>
      <c r="K109" s="11" t="s">
        <v>92</v>
      </c>
      <c r="L109" s="11"/>
    </row>
    <row r="110" customFormat="false" ht="22.35" hidden="false" customHeight="false" outlineLevel="0" collapsed="false">
      <c r="A110" s="11" t="n">
        <v>109</v>
      </c>
      <c r="B110" s="11" t="s">
        <v>459</v>
      </c>
      <c r="C110" s="11" t="s">
        <v>460</v>
      </c>
      <c r="D110" s="11" t="s">
        <v>461</v>
      </c>
      <c r="E110" s="11"/>
      <c r="F110" s="11" t="s">
        <v>250</v>
      </c>
      <c r="G110" s="11" t="s">
        <v>483</v>
      </c>
      <c r="H110" s="11" t="s">
        <v>107</v>
      </c>
      <c r="I110" s="11" t="s">
        <v>252</v>
      </c>
      <c r="J110" s="11" t="s">
        <v>253</v>
      </c>
      <c r="K110" s="11" t="s">
        <v>254</v>
      </c>
      <c r="L110" s="11"/>
    </row>
    <row r="111" customFormat="false" ht="22.35" hidden="false" customHeight="false" outlineLevel="0" collapsed="false">
      <c r="A111" s="11" t="n">
        <v>110</v>
      </c>
      <c r="B111" s="11" t="s">
        <v>459</v>
      </c>
      <c r="C111" s="11" t="s">
        <v>460</v>
      </c>
      <c r="D111" s="11" t="s">
        <v>461</v>
      </c>
      <c r="E111" s="11"/>
      <c r="F111" s="11"/>
      <c r="G111" s="11" t="s">
        <v>484</v>
      </c>
      <c r="H111" s="11" t="s">
        <v>135</v>
      </c>
      <c r="I111" s="11" t="s">
        <v>485</v>
      </c>
      <c r="J111" s="11" t="s">
        <v>486</v>
      </c>
      <c r="K111" s="11" t="s">
        <v>48</v>
      </c>
      <c r="L111" s="11"/>
    </row>
    <row r="112" customFormat="false" ht="22.35" hidden="false" customHeight="false" outlineLevel="0" collapsed="false">
      <c r="A112" s="11" t="n">
        <v>111</v>
      </c>
      <c r="B112" s="11" t="s">
        <v>459</v>
      </c>
      <c r="C112" s="11" t="s">
        <v>460</v>
      </c>
      <c r="D112" s="11" t="s">
        <v>461</v>
      </c>
      <c r="E112" s="11"/>
      <c r="F112" s="11" t="s">
        <v>163</v>
      </c>
      <c r="G112" s="11" t="s">
        <v>487</v>
      </c>
      <c r="H112" s="11" t="s">
        <v>118</v>
      </c>
      <c r="I112" s="11" t="s">
        <v>165</v>
      </c>
      <c r="J112" s="11" t="s">
        <v>488</v>
      </c>
      <c r="K112" s="11" t="s">
        <v>48</v>
      </c>
      <c r="L112" s="11"/>
    </row>
    <row r="113" customFormat="false" ht="22.35" hidden="false" customHeight="false" outlineLevel="0" collapsed="false">
      <c r="A113" s="11" t="n">
        <v>112</v>
      </c>
      <c r="B113" s="11" t="s">
        <v>459</v>
      </c>
      <c r="C113" s="11" t="s">
        <v>460</v>
      </c>
      <c r="D113" s="11" t="s">
        <v>461</v>
      </c>
      <c r="E113" s="11"/>
      <c r="F113" s="11" t="s">
        <v>262</v>
      </c>
      <c r="G113" s="11" t="s">
        <v>489</v>
      </c>
      <c r="H113" s="11" t="s">
        <v>45</v>
      </c>
      <c r="I113" s="11" t="s">
        <v>490</v>
      </c>
      <c r="J113" s="11" t="s">
        <v>491</v>
      </c>
      <c r="K113" s="11" t="s">
        <v>254</v>
      </c>
      <c r="L113" s="11"/>
    </row>
    <row r="114" customFormat="false" ht="32.8" hidden="false" customHeight="false" outlineLevel="0" collapsed="false">
      <c r="A114" s="11" t="n">
        <v>113</v>
      </c>
      <c r="B114" s="11" t="s">
        <v>459</v>
      </c>
      <c r="C114" s="11" t="s">
        <v>460</v>
      </c>
      <c r="D114" s="11" t="s">
        <v>461</v>
      </c>
      <c r="E114" s="11"/>
      <c r="F114" s="11"/>
      <c r="G114" s="11" t="s">
        <v>492</v>
      </c>
      <c r="H114" s="11" t="s">
        <v>60</v>
      </c>
      <c r="I114" s="11" t="s">
        <v>493</v>
      </c>
      <c r="J114" s="11" t="s">
        <v>494</v>
      </c>
      <c r="K114" s="11" t="s">
        <v>92</v>
      </c>
      <c r="L114" s="11"/>
    </row>
    <row r="115" customFormat="false" ht="22.35" hidden="false" customHeight="false" outlineLevel="0" collapsed="false">
      <c r="A115" s="11" t="n">
        <v>114</v>
      </c>
      <c r="B115" s="11" t="s">
        <v>495</v>
      </c>
      <c r="C115" s="11" t="s">
        <v>41</v>
      </c>
      <c r="D115" s="11" t="s">
        <v>398</v>
      </c>
      <c r="E115" s="11"/>
      <c r="F115" s="11"/>
      <c r="G115" s="11" t="s">
        <v>496</v>
      </c>
      <c r="H115" s="11" t="s">
        <v>107</v>
      </c>
      <c r="I115" s="11" t="s">
        <v>497</v>
      </c>
      <c r="J115" s="11" t="s">
        <v>498</v>
      </c>
      <c r="K115" s="11" t="s">
        <v>48</v>
      </c>
      <c r="L115" s="12" t="s">
        <v>499</v>
      </c>
    </row>
    <row r="116" customFormat="false" ht="22.35" hidden="false" customHeight="false" outlineLevel="0" collapsed="false">
      <c r="A116" s="11" t="n">
        <v>115</v>
      </c>
      <c r="B116" s="11" t="s">
        <v>495</v>
      </c>
      <c r="C116" s="11" t="s">
        <v>41</v>
      </c>
      <c r="D116" s="11" t="s">
        <v>398</v>
      </c>
      <c r="E116" s="11"/>
      <c r="F116" s="11"/>
      <c r="G116" s="11" t="s">
        <v>500</v>
      </c>
      <c r="H116" s="11" t="s">
        <v>118</v>
      </c>
      <c r="I116" s="11" t="s">
        <v>501</v>
      </c>
      <c r="J116" s="11" t="s">
        <v>502</v>
      </c>
      <c r="K116" s="11" t="s">
        <v>92</v>
      </c>
      <c r="L116" s="12" t="s">
        <v>503</v>
      </c>
    </row>
    <row r="117" customFormat="false" ht="22.35" hidden="false" customHeight="false" outlineLevel="0" collapsed="false">
      <c r="A117" s="11" t="n">
        <v>116</v>
      </c>
      <c r="B117" s="11" t="s">
        <v>495</v>
      </c>
      <c r="C117" s="11" t="s">
        <v>41</v>
      </c>
      <c r="D117" s="11" t="s">
        <v>398</v>
      </c>
      <c r="E117" s="11"/>
      <c r="F117" s="11" t="s">
        <v>268</v>
      </c>
      <c r="G117" s="11" t="s">
        <v>269</v>
      </c>
      <c r="H117" s="11" t="s">
        <v>270</v>
      </c>
      <c r="I117" s="11" t="s">
        <v>271</v>
      </c>
      <c r="J117" s="11" t="s">
        <v>272</v>
      </c>
      <c r="K117" s="11" t="s">
        <v>48</v>
      </c>
      <c r="L117" s="12" t="s">
        <v>273</v>
      </c>
    </row>
    <row r="118" customFormat="false" ht="22.35" hidden="false" customHeight="false" outlineLevel="0" collapsed="false">
      <c r="A118" s="11" t="n">
        <v>117</v>
      </c>
      <c r="B118" s="11" t="s">
        <v>495</v>
      </c>
      <c r="C118" s="11" t="s">
        <v>41</v>
      </c>
      <c r="D118" s="11" t="s">
        <v>398</v>
      </c>
      <c r="E118" s="11"/>
      <c r="F118" s="11" t="s">
        <v>275</v>
      </c>
      <c r="G118" s="11" t="s">
        <v>276</v>
      </c>
      <c r="H118" s="11" t="s">
        <v>69</v>
      </c>
      <c r="I118" s="11" t="s">
        <v>277</v>
      </c>
      <c r="J118" s="11" t="s">
        <v>278</v>
      </c>
      <c r="K118" s="11" t="s">
        <v>48</v>
      </c>
      <c r="L118" s="12" t="s">
        <v>279</v>
      </c>
    </row>
    <row r="119" customFormat="false" ht="22.35" hidden="false" customHeight="false" outlineLevel="0" collapsed="false">
      <c r="A119" s="11" t="n">
        <v>118</v>
      </c>
      <c r="B119" s="11" t="s">
        <v>495</v>
      </c>
      <c r="C119" s="11" t="s">
        <v>41</v>
      </c>
      <c r="D119" s="11" t="s">
        <v>398</v>
      </c>
      <c r="E119" s="11"/>
      <c r="F119" s="11" t="s">
        <v>275</v>
      </c>
      <c r="G119" s="11" t="s">
        <v>276</v>
      </c>
      <c r="H119" s="11" t="s">
        <v>69</v>
      </c>
      <c r="I119" s="11" t="s">
        <v>277</v>
      </c>
      <c r="J119" s="11" t="s">
        <v>278</v>
      </c>
      <c r="K119" s="11" t="s">
        <v>48</v>
      </c>
      <c r="L119" s="12" t="s">
        <v>279</v>
      </c>
    </row>
    <row r="120" customFormat="false" ht="22.35" hidden="false" customHeight="false" outlineLevel="0" collapsed="false">
      <c r="A120" s="11" t="n">
        <v>119</v>
      </c>
      <c r="B120" s="11" t="s">
        <v>495</v>
      </c>
      <c r="C120" s="11" t="s">
        <v>41</v>
      </c>
      <c r="D120" s="11" t="s">
        <v>398</v>
      </c>
      <c r="E120" s="11"/>
      <c r="F120" s="11" t="s">
        <v>275</v>
      </c>
      <c r="G120" s="11" t="s">
        <v>276</v>
      </c>
      <c r="H120" s="11" t="s">
        <v>69</v>
      </c>
      <c r="I120" s="11" t="s">
        <v>277</v>
      </c>
      <c r="J120" s="11" t="s">
        <v>278</v>
      </c>
      <c r="K120" s="11" t="s">
        <v>48</v>
      </c>
      <c r="L120" s="12" t="s">
        <v>279</v>
      </c>
    </row>
    <row r="121" customFormat="false" ht="22.35" hidden="false" customHeight="false" outlineLevel="0" collapsed="false">
      <c r="A121" s="11" t="n">
        <v>120</v>
      </c>
      <c r="B121" s="11" t="s">
        <v>495</v>
      </c>
      <c r="C121" s="11" t="s">
        <v>41</v>
      </c>
      <c r="D121" s="11" t="s">
        <v>398</v>
      </c>
      <c r="E121" s="11"/>
      <c r="F121" s="11" t="s">
        <v>43</v>
      </c>
      <c r="G121" s="11" t="s">
        <v>504</v>
      </c>
      <c r="H121" s="11" t="s">
        <v>45</v>
      </c>
      <c r="I121" s="11" t="s">
        <v>46</v>
      </c>
      <c r="J121" s="11" t="s">
        <v>47</v>
      </c>
      <c r="K121" s="11" t="s">
        <v>48</v>
      </c>
      <c r="L121" s="12" t="s">
        <v>49</v>
      </c>
    </row>
    <row r="122" customFormat="false" ht="22.35" hidden="false" customHeight="false" outlineLevel="0" collapsed="false">
      <c r="A122" s="11" t="n">
        <v>121</v>
      </c>
      <c r="B122" s="11" t="s">
        <v>495</v>
      </c>
      <c r="C122" s="11" t="s">
        <v>41</v>
      </c>
      <c r="D122" s="11" t="s">
        <v>398</v>
      </c>
      <c r="E122" s="11"/>
      <c r="F122" s="11"/>
      <c r="G122" s="11" t="s">
        <v>505</v>
      </c>
      <c r="H122" s="11" t="s">
        <v>77</v>
      </c>
      <c r="I122" s="11" t="s">
        <v>506</v>
      </c>
      <c r="J122" s="11" t="s">
        <v>507</v>
      </c>
      <c r="K122" s="11" t="s">
        <v>48</v>
      </c>
      <c r="L122" s="12" t="s">
        <v>508</v>
      </c>
    </row>
    <row r="123" customFormat="false" ht="22.35" hidden="false" customHeight="false" outlineLevel="0" collapsed="false">
      <c r="A123" s="11" t="n">
        <v>122</v>
      </c>
      <c r="B123" s="11" t="s">
        <v>495</v>
      </c>
      <c r="C123" s="11" t="s">
        <v>41</v>
      </c>
      <c r="D123" s="11" t="s">
        <v>398</v>
      </c>
      <c r="E123" s="11"/>
      <c r="F123" s="11"/>
      <c r="G123" s="11" t="s">
        <v>509</v>
      </c>
      <c r="H123" s="11" t="s">
        <v>84</v>
      </c>
      <c r="I123" s="11" t="s">
        <v>510</v>
      </c>
      <c r="J123" s="11" t="s">
        <v>511</v>
      </c>
      <c r="K123" s="11" t="s">
        <v>48</v>
      </c>
      <c r="L123" s="12" t="s">
        <v>512</v>
      </c>
    </row>
    <row r="124" customFormat="false" ht="22.35" hidden="false" customHeight="false" outlineLevel="0" collapsed="false">
      <c r="A124" s="11" t="n">
        <v>123</v>
      </c>
      <c r="B124" s="11" t="s">
        <v>495</v>
      </c>
      <c r="C124" s="11" t="s">
        <v>41</v>
      </c>
      <c r="D124" s="11" t="s">
        <v>398</v>
      </c>
      <c r="E124" s="11"/>
      <c r="F124" s="11" t="s">
        <v>52</v>
      </c>
      <c r="G124" s="11" t="s">
        <v>53</v>
      </c>
      <c r="H124" s="11" t="s">
        <v>54</v>
      </c>
      <c r="I124" s="11" t="s">
        <v>55</v>
      </c>
      <c r="J124" s="11" t="s">
        <v>56</v>
      </c>
      <c r="K124" s="11" t="s">
        <v>48</v>
      </c>
      <c r="L124" s="12" t="s">
        <v>57</v>
      </c>
    </row>
    <row r="125" customFormat="false" ht="22.35" hidden="false" customHeight="false" outlineLevel="0" collapsed="false">
      <c r="A125" s="11" t="n">
        <v>124</v>
      </c>
      <c r="B125" s="11" t="s">
        <v>495</v>
      </c>
      <c r="C125" s="11" t="s">
        <v>41</v>
      </c>
      <c r="D125" s="11" t="s">
        <v>398</v>
      </c>
      <c r="E125" s="11"/>
      <c r="F125" s="11" t="s">
        <v>52</v>
      </c>
      <c r="G125" s="11" t="s">
        <v>53</v>
      </c>
      <c r="H125" s="11" t="s">
        <v>54</v>
      </c>
      <c r="I125" s="11" t="s">
        <v>55</v>
      </c>
      <c r="J125" s="11" t="s">
        <v>56</v>
      </c>
      <c r="K125" s="11" t="s">
        <v>48</v>
      </c>
      <c r="L125" s="12" t="s">
        <v>57</v>
      </c>
    </row>
    <row r="126" customFormat="false" ht="22.35" hidden="false" customHeight="false" outlineLevel="0" collapsed="false">
      <c r="A126" s="11" t="n">
        <v>125</v>
      </c>
      <c r="B126" s="11" t="s">
        <v>495</v>
      </c>
      <c r="C126" s="11" t="s">
        <v>41</v>
      </c>
      <c r="D126" s="11" t="s">
        <v>398</v>
      </c>
      <c r="E126" s="11"/>
      <c r="F126" s="11" t="s">
        <v>58</v>
      </c>
      <c r="G126" s="11" t="s">
        <v>513</v>
      </c>
      <c r="H126" s="11" t="s">
        <v>60</v>
      </c>
      <c r="I126" s="11" t="s">
        <v>61</v>
      </c>
      <c r="J126" s="11" t="s">
        <v>56</v>
      </c>
      <c r="K126" s="11" t="s">
        <v>48</v>
      </c>
      <c r="L126" s="12" t="s">
        <v>62</v>
      </c>
    </row>
    <row r="127" customFormat="false" ht="22.35" hidden="false" customHeight="false" outlineLevel="0" collapsed="false">
      <c r="A127" s="11" t="n">
        <v>126</v>
      </c>
      <c r="B127" s="11" t="s">
        <v>495</v>
      </c>
      <c r="C127" s="11" t="s">
        <v>41</v>
      </c>
      <c r="D127" s="11" t="s">
        <v>398</v>
      </c>
      <c r="E127" s="11"/>
      <c r="F127" s="11" t="s">
        <v>63</v>
      </c>
      <c r="G127" s="11" t="s">
        <v>64</v>
      </c>
      <c r="H127" s="11" t="s">
        <v>60</v>
      </c>
      <c r="I127" s="11" t="s">
        <v>65</v>
      </c>
      <c r="J127" s="11" t="s">
        <v>56</v>
      </c>
      <c r="K127" s="11" t="s">
        <v>48</v>
      </c>
      <c r="L127" s="12" t="s">
        <v>66</v>
      </c>
    </row>
    <row r="128" customFormat="false" ht="22.35" hidden="false" customHeight="false" outlineLevel="0" collapsed="false">
      <c r="A128" s="11" t="n">
        <v>127</v>
      </c>
      <c r="B128" s="11" t="s">
        <v>495</v>
      </c>
      <c r="C128" s="11" t="s">
        <v>41</v>
      </c>
      <c r="D128" s="11" t="s">
        <v>398</v>
      </c>
      <c r="E128" s="11"/>
      <c r="F128" s="11" t="s">
        <v>67</v>
      </c>
      <c r="G128" s="11" t="s">
        <v>68</v>
      </c>
      <c r="H128" s="11" t="s">
        <v>69</v>
      </c>
      <c r="I128" s="11" t="s">
        <v>70</v>
      </c>
      <c r="J128" s="11" t="s">
        <v>71</v>
      </c>
      <c r="K128" s="11" t="s">
        <v>48</v>
      </c>
      <c r="L128" s="12" t="s">
        <v>72</v>
      </c>
    </row>
    <row r="129" customFormat="false" ht="22.35" hidden="false" customHeight="false" outlineLevel="0" collapsed="false">
      <c r="A129" s="11" t="n">
        <v>128</v>
      </c>
      <c r="B129" s="11" t="s">
        <v>495</v>
      </c>
      <c r="C129" s="11" t="s">
        <v>41</v>
      </c>
      <c r="D129" s="11" t="s">
        <v>398</v>
      </c>
      <c r="E129" s="11"/>
      <c r="F129" s="11" t="s">
        <v>75</v>
      </c>
      <c r="G129" s="11" t="s">
        <v>76</v>
      </c>
      <c r="H129" s="11" t="s">
        <v>77</v>
      </c>
      <c r="I129" s="11" t="s">
        <v>78</v>
      </c>
      <c r="J129" s="11" t="s">
        <v>79</v>
      </c>
      <c r="K129" s="11" t="s">
        <v>80</v>
      </c>
      <c r="L129" s="12" t="s">
        <v>81</v>
      </c>
    </row>
    <row r="130" customFormat="false" ht="22.35" hidden="false" customHeight="false" outlineLevel="0" collapsed="false">
      <c r="A130" s="11" t="n">
        <v>129</v>
      </c>
      <c r="B130" s="11" t="s">
        <v>495</v>
      </c>
      <c r="C130" s="11" t="s">
        <v>41</v>
      </c>
      <c r="D130" s="11" t="s">
        <v>398</v>
      </c>
      <c r="E130" s="11"/>
      <c r="F130" s="11"/>
      <c r="G130" s="11" t="s">
        <v>514</v>
      </c>
      <c r="H130" s="11" t="s">
        <v>515</v>
      </c>
      <c r="I130" s="11" t="s">
        <v>516</v>
      </c>
      <c r="J130" s="11" t="s">
        <v>468</v>
      </c>
      <c r="K130" s="11" t="s">
        <v>468</v>
      </c>
      <c r="L130" s="11"/>
    </row>
    <row r="131" customFormat="false" ht="22.35" hidden="false" customHeight="false" outlineLevel="0" collapsed="false">
      <c r="A131" s="11" t="n">
        <v>130</v>
      </c>
      <c r="B131" s="11" t="s">
        <v>495</v>
      </c>
      <c r="C131" s="11" t="s">
        <v>41</v>
      </c>
      <c r="D131" s="11" t="s">
        <v>398</v>
      </c>
      <c r="E131" s="11"/>
      <c r="F131" s="11"/>
      <c r="G131" s="11" t="s">
        <v>517</v>
      </c>
      <c r="H131" s="11" t="s">
        <v>45</v>
      </c>
      <c r="I131" s="11" t="s">
        <v>518</v>
      </c>
      <c r="J131" s="11" t="s">
        <v>519</v>
      </c>
      <c r="K131" s="11" t="s">
        <v>48</v>
      </c>
      <c r="L131" s="11"/>
    </row>
    <row r="132" customFormat="false" ht="22.35" hidden="false" customHeight="false" outlineLevel="0" collapsed="false">
      <c r="A132" s="11" t="n">
        <v>131</v>
      </c>
      <c r="B132" s="11" t="s">
        <v>495</v>
      </c>
      <c r="C132" s="11" t="s">
        <v>41</v>
      </c>
      <c r="D132" s="11" t="s">
        <v>398</v>
      </c>
      <c r="E132" s="11"/>
      <c r="F132" s="11"/>
      <c r="G132" s="11" t="s">
        <v>520</v>
      </c>
      <c r="H132" s="11" t="s">
        <v>54</v>
      </c>
      <c r="I132" s="11" t="s">
        <v>521</v>
      </c>
      <c r="J132" s="11" t="s">
        <v>522</v>
      </c>
      <c r="K132" s="11" t="s">
        <v>48</v>
      </c>
      <c r="L132" s="12" t="s">
        <v>523</v>
      </c>
    </row>
    <row r="133" customFormat="false" ht="22.35" hidden="false" customHeight="false" outlineLevel="0" collapsed="false">
      <c r="A133" s="11" t="n">
        <v>132</v>
      </c>
      <c r="B133" s="11" t="s">
        <v>495</v>
      </c>
      <c r="C133" s="11" t="s">
        <v>41</v>
      </c>
      <c r="D133" s="11" t="s">
        <v>398</v>
      </c>
      <c r="E133" s="11"/>
      <c r="F133" s="11"/>
      <c r="G133" s="11" t="s">
        <v>524</v>
      </c>
      <c r="H133" s="11" t="s">
        <v>176</v>
      </c>
      <c r="I133" s="11" t="s">
        <v>525</v>
      </c>
      <c r="J133" s="11" t="s">
        <v>526</v>
      </c>
      <c r="K133" s="11" t="s">
        <v>48</v>
      </c>
      <c r="L133" s="12" t="s">
        <v>527</v>
      </c>
    </row>
    <row r="134" customFormat="false" ht="22.35" hidden="false" customHeight="false" outlineLevel="0" collapsed="false">
      <c r="A134" s="11" t="n">
        <v>133</v>
      </c>
      <c r="B134" s="11" t="s">
        <v>495</v>
      </c>
      <c r="C134" s="11" t="s">
        <v>41</v>
      </c>
      <c r="D134" s="11" t="s">
        <v>398</v>
      </c>
      <c r="E134" s="11"/>
      <c r="F134" s="11" t="s">
        <v>281</v>
      </c>
      <c r="G134" s="11" t="s">
        <v>528</v>
      </c>
      <c r="H134" s="11" t="s">
        <v>170</v>
      </c>
      <c r="I134" s="11" t="s">
        <v>283</v>
      </c>
      <c r="J134" s="11" t="s">
        <v>529</v>
      </c>
      <c r="K134" s="11" t="s">
        <v>92</v>
      </c>
      <c r="L134" s="12" t="s">
        <v>285</v>
      </c>
    </row>
    <row r="135" customFormat="false" ht="32.8" hidden="false" customHeight="false" outlineLevel="0" collapsed="false">
      <c r="A135" s="11" t="n">
        <v>134</v>
      </c>
      <c r="B135" s="11" t="s">
        <v>495</v>
      </c>
      <c r="C135" s="11" t="s">
        <v>41</v>
      </c>
      <c r="D135" s="11" t="s">
        <v>398</v>
      </c>
      <c r="E135" s="11"/>
      <c r="F135" s="11"/>
      <c r="G135" s="11" t="s">
        <v>530</v>
      </c>
      <c r="H135" s="11" t="s">
        <v>77</v>
      </c>
      <c r="I135" s="11" t="s">
        <v>531</v>
      </c>
      <c r="J135" s="11" t="s">
        <v>532</v>
      </c>
      <c r="K135" s="11" t="s">
        <v>48</v>
      </c>
      <c r="L135" s="12" t="s">
        <v>533</v>
      </c>
    </row>
    <row r="136" customFormat="false" ht="22.35" hidden="false" customHeight="false" outlineLevel="0" collapsed="false">
      <c r="A136" s="11" t="n">
        <v>135</v>
      </c>
      <c r="B136" s="11" t="s">
        <v>495</v>
      </c>
      <c r="C136" s="11" t="s">
        <v>41</v>
      </c>
      <c r="D136" s="11" t="s">
        <v>398</v>
      </c>
      <c r="E136" s="11"/>
      <c r="F136" s="11"/>
      <c r="G136" s="11" t="s">
        <v>534</v>
      </c>
      <c r="H136" s="11" t="s">
        <v>216</v>
      </c>
      <c r="I136" s="11" t="s">
        <v>535</v>
      </c>
      <c r="J136" s="11" t="s">
        <v>536</v>
      </c>
      <c r="K136" s="11" t="s">
        <v>92</v>
      </c>
      <c r="L136" s="12" t="s">
        <v>537</v>
      </c>
    </row>
    <row r="137" customFormat="false" ht="22.35" hidden="false" customHeight="false" outlineLevel="0" collapsed="false">
      <c r="A137" s="11" t="n">
        <v>136</v>
      </c>
      <c r="B137" s="11" t="s">
        <v>495</v>
      </c>
      <c r="C137" s="11" t="s">
        <v>41</v>
      </c>
      <c r="D137" s="11" t="s">
        <v>398</v>
      </c>
      <c r="E137" s="11"/>
      <c r="F137" s="11"/>
      <c r="G137" s="11" t="s">
        <v>538</v>
      </c>
      <c r="H137" s="11" t="s">
        <v>60</v>
      </c>
      <c r="I137" s="11" t="s">
        <v>539</v>
      </c>
      <c r="J137" s="11" t="s">
        <v>540</v>
      </c>
      <c r="K137" s="11" t="s">
        <v>541</v>
      </c>
      <c r="L137" s="11"/>
    </row>
    <row r="138" customFormat="false" ht="22.35" hidden="false" customHeight="false" outlineLevel="0" collapsed="false">
      <c r="A138" s="11" t="n">
        <v>137</v>
      </c>
      <c r="B138" s="11" t="s">
        <v>495</v>
      </c>
      <c r="C138" s="11" t="s">
        <v>41</v>
      </c>
      <c r="D138" s="11" t="s">
        <v>398</v>
      </c>
      <c r="E138" s="11"/>
      <c r="F138" s="11" t="s">
        <v>286</v>
      </c>
      <c r="G138" s="11" t="s">
        <v>542</v>
      </c>
      <c r="H138" s="11" t="s">
        <v>107</v>
      </c>
      <c r="I138" s="11" t="s">
        <v>288</v>
      </c>
      <c r="J138" s="11" t="s">
        <v>543</v>
      </c>
      <c r="K138" s="11" t="s">
        <v>48</v>
      </c>
      <c r="L138" s="11"/>
    </row>
    <row r="139" customFormat="false" ht="22.35" hidden="false" customHeight="false" outlineLevel="0" collapsed="false">
      <c r="A139" s="11" t="n">
        <v>138</v>
      </c>
      <c r="B139" s="11" t="s">
        <v>495</v>
      </c>
      <c r="C139" s="11" t="s">
        <v>41</v>
      </c>
      <c r="D139" s="11" t="s">
        <v>398</v>
      </c>
      <c r="E139" s="11"/>
      <c r="F139" s="11" t="s">
        <v>291</v>
      </c>
      <c r="G139" s="11" t="s">
        <v>292</v>
      </c>
      <c r="H139" s="11" t="s">
        <v>176</v>
      </c>
      <c r="I139" s="11" t="s">
        <v>293</v>
      </c>
      <c r="J139" s="11" t="s">
        <v>544</v>
      </c>
      <c r="K139" s="11" t="s">
        <v>295</v>
      </c>
      <c r="L139" s="11"/>
    </row>
    <row r="140" customFormat="false" ht="22.35" hidden="false" customHeight="false" outlineLevel="0" collapsed="false">
      <c r="A140" s="11" t="n">
        <v>139</v>
      </c>
      <c r="B140" s="11" t="s">
        <v>495</v>
      </c>
      <c r="C140" s="11" t="s">
        <v>41</v>
      </c>
      <c r="D140" s="11" t="s">
        <v>398</v>
      </c>
      <c r="E140" s="11"/>
      <c r="F140" s="11" t="s">
        <v>296</v>
      </c>
      <c r="G140" s="11" t="s">
        <v>297</v>
      </c>
      <c r="H140" s="11" t="s">
        <v>45</v>
      </c>
      <c r="I140" s="11" t="s">
        <v>298</v>
      </c>
      <c r="J140" s="11" t="s">
        <v>299</v>
      </c>
      <c r="K140" s="11" t="s">
        <v>48</v>
      </c>
      <c r="L140" s="12" t="s">
        <v>300</v>
      </c>
    </row>
    <row r="141" customFormat="false" ht="22.35" hidden="false" customHeight="false" outlineLevel="0" collapsed="false">
      <c r="A141" s="11" t="n">
        <v>140</v>
      </c>
      <c r="B141" s="11" t="s">
        <v>495</v>
      </c>
      <c r="C141" s="11" t="s">
        <v>41</v>
      </c>
      <c r="D141" s="11" t="s">
        <v>398</v>
      </c>
      <c r="E141" s="11"/>
      <c r="F141" s="11"/>
      <c r="G141" s="11" t="s">
        <v>545</v>
      </c>
      <c r="H141" s="11" t="s">
        <v>135</v>
      </c>
      <c r="I141" s="11" t="s">
        <v>546</v>
      </c>
      <c r="J141" s="11" t="s">
        <v>547</v>
      </c>
      <c r="K141" s="11" t="s">
        <v>548</v>
      </c>
      <c r="L141" s="11"/>
    </row>
    <row r="142" customFormat="false" ht="22.35" hidden="false" customHeight="false" outlineLevel="0" collapsed="false">
      <c r="A142" s="11" t="n">
        <v>141</v>
      </c>
      <c r="B142" s="11" t="s">
        <v>495</v>
      </c>
      <c r="C142" s="11" t="s">
        <v>41</v>
      </c>
      <c r="D142" s="11" t="s">
        <v>398</v>
      </c>
      <c r="E142" s="11"/>
      <c r="F142" s="11"/>
      <c r="G142" s="11" t="s">
        <v>549</v>
      </c>
      <c r="H142" s="11" t="s">
        <v>45</v>
      </c>
      <c r="I142" s="11" t="s">
        <v>550</v>
      </c>
      <c r="J142" s="11" t="s">
        <v>551</v>
      </c>
      <c r="K142" s="11" t="s">
        <v>548</v>
      </c>
      <c r="L142" s="11"/>
    </row>
    <row r="143" customFormat="false" ht="22.35" hidden="false" customHeight="false" outlineLevel="0" collapsed="false">
      <c r="A143" s="11" t="n">
        <v>142</v>
      </c>
      <c r="B143" s="11" t="s">
        <v>495</v>
      </c>
      <c r="C143" s="11" t="s">
        <v>41</v>
      </c>
      <c r="D143" s="11" t="s">
        <v>398</v>
      </c>
      <c r="E143" s="11"/>
      <c r="F143" s="11"/>
      <c r="G143" s="11" t="s">
        <v>552</v>
      </c>
      <c r="H143" s="11" t="s">
        <v>515</v>
      </c>
      <c r="I143" s="11" t="s">
        <v>553</v>
      </c>
      <c r="J143" s="11" t="s">
        <v>48</v>
      </c>
      <c r="K143" s="11" t="s">
        <v>48</v>
      </c>
      <c r="L143" s="11"/>
    </row>
    <row r="144" customFormat="false" ht="22.35" hidden="false" customHeight="false" outlineLevel="0" collapsed="false">
      <c r="A144" s="11" t="n">
        <v>143</v>
      </c>
      <c r="B144" s="11" t="s">
        <v>495</v>
      </c>
      <c r="C144" s="11" t="s">
        <v>41</v>
      </c>
      <c r="D144" s="11" t="s">
        <v>398</v>
      </c>
      <c r="E144" s="11"/>
      <c r="F144" s="11"/>
      <c r="G144" s="11" t="s">
        <v>554</v>
      </c>
      <c r="H144" s="11" t="s">
        <v>555</v>
      </c>
      <c r="I144" s="11" t="s">
        <v>556</v>
      </c>
      <c r="J144" s="11" t="s">
        <v>557</v>
      </c>
      <c r="K144" s="11" t="s">
        <v>558</v>
      </c>
      <c r="L144" s="11"/>
    </row>
    <row r="145" customFormat="false" ht="22.35" hidden="false" customHeight="false" outlineLevel="0" collapsed="false">
      <c r="A145" s="11" t="n">
        <v>144</v>
      </c>
      <c r="B145" s="11" t="s">
        <v>495</v>
      </c>
      <c r="C145" s="11" t="s">
        <v>41</v>
      </c>
      <c r="D145" s="11" t="s">
        <v>398</v>
      </c>
      <c r="E145" s="11"/>
      <c r="F145" s="11" t="s">
        <v>82</v>
      </c>
      <c r="G145" s="11" t="s">
        <v>83</v>
      </c>
      <c r="H145" s="11" t="s">
        <v>84</v>
      </c>
      <c r="I145" s="11" t="s">
        <v>85</v>
      </c>
      <c r="J145" s="11" t="s">
        <v>86</v>
      </c>
      <c r="K145" s="11" t="s">
        <v>48</v>
      </c>
      <c r="L145" s="12" t="s">
        <v>87</v>
      </c>
    </row>
    <row r="146" customFormat="false" ht="22.35" hidden="false" customHeight="false" outlineLevel="0" collapsed="false">
      <c r="A146" s="11" t="n">
        <v>145</v>
      </c>
      <c r="B146" s="11" t="s">
        <v>495</v>
      </c>
      <c r="C146" s="11" t="s">
        <v>41</v>
      </c>
      <c r="D146" s="11" t="s">
        <v>398</v>
      </c>
      <c r="E146" s="11"/>
      <c r="F146" s="11" t="s">
        <v>88</v>
      </c>
      <c r="G146" s="11" t="s">
        <v>89</v>
      </c>
      <c r="H146" s="11" t="s">
        <v>45</v>
      </c>
      <c r="I146" s="11" t="s">
        <v>90</v>
      </c>
      <c r="J146" s="11" t="s">
        <v>91</v>
      </c>
      <c r="K146" s="11" t="s">
        <v>92</v>
      </c>
      <c r="L146" s="12" t="s">
        <v>93</v>
      </c>
    </row>
    <row r="147" customFormat="false" ht="22.35" hidden="false" customHeight="false" outlineLevel="0" collapsed="false">
      <c r="A147" s="11" t="n">
        <v>146</v>
      </c>
      <c r="B147" s="11" t="s">
        <v>495</v>
      </c>
      <c r="C147" s="11" t="s">
        <v>41</v>
      </c>
      <c r="D147" s="11" t="s">
        <v>398</v>
      </c>
      <c r="E147" s="11"/>
      <c r="F147" s="11"/>
      <c r="G147" s="11" t="s">
        <v>559</v>
      </c>
      <c r="H147" s="11" t="s">
        <v>60</v>
      </c>
      <c r="I147" s="11" t="s">
        <v>560</v>
      </c>
      <c r="J147" s="11" t="s">
        <v>561</v>
      </c>
      <c r="K147" s="11" t="s">
        <v>48</v>
      </c>
      <c r="L147" s="12" t="s">
        <v>562</v>
      </c>
    </row>
    <row r="148" customFormat="false" ht="32.8" hidden="false" customHeight="false" outlineLevel="0" collapsed="false">
      <c r="A148" s="11" t="n">
        <v>147</v>
      </c>
      <c r="B148" s="11" t="s">
        <v>495</v>
      </c>
      <c r="C148" s="11" t="s">
        <v>41</v>
      </c>
      <c r="D148" s="11" t="s">
        <v>398</v>
      </c>
      <c r="E148" s="11"/>
      <c r="F148" s="11"/>
      <c r="G148" s="11" t="s">
        <v>563</v>
      </c>
      <c r="H148" s="11" t="s">
        <v>515</v>
      </c>
      <c r="I148" s="11" t="s">
        <v>564</v>
      </c>
      <c r="J148" s="11" t="s">
        <v>48</v>
      </c>
      <c r="K148" s="11" t="s">
        <v>48</v>
      </c>
      <c r="L148" s="11"/>
    </row>
    <row r="149" customFormat="false" ht="22.35" hidden="false" customHeight="false" outlineLevel="0" collapsed="false">
      <c r="A149" s="11" t="n">
        <v>148</v>
      </c>
      <c r="B149" s="11" t="s">
        <v>495</v>
      </c>
      <c r="C149" s="11" t="s">
        <v>41</v>
      </c>
      <c r="D149" s="11" t="s">
        <v>398</v>
      </c>
      <c r="E149" s="11"/>
      <c r="F149" s="11"/>
      <c r="G149" s="11" t="s">
        <v>565</v>
      </c>
      <c r="H149" s="11" t="s">
        <v>84</v>
      </c>
      <c r="I149" s="11" t="s">
        <v>566</v>
      </c>
      <c r="J149" s="11" t="s">
        <v>567</v>
      </c>
      <c r="K149" s="11" t="s">
        <v>48</v>
      </c>
      <c r="L149" s="12" t="s">
        <v>568</v>
      </c>
    </row>
    <row r="150" customFormat="false" ht="22.35" hidden="false" customHeight="false" outlineLevel="0" collapsed="false">
      <c r="A150" s="11" t="n">
        <v>149</v>
      </c>
      <c r="B150" s="11" t="s">
        <v>495</v>
      </c>
      <c r="C150" s="11" t="s">
        <v>41</v>
      </c>
      <c r="D150" s="11" t="s">
        <v>398</v>
      </c>
      <c r="E150" s="11"/>
      <c r="F150" s="11"/>
      <c r="G150" s="11" t="s">
        <v>569</v>
      </c>
      <c r="H150" s="11" t="s">
        <v>84</v>
      </c>
      <c r="I150" s="11" t="s">
        <v>570</v>
      </c>
      <c r="J150" s="11" t="s">
        <v>571</v>
      </c>
      <c r="K150" s="11" t="s">
        <v>92</v>
      </c>
      <c r="L150" s="11"/>
    </row>
    <row r="151" customFormat="false" ht="22.35" hidden="false" customHeight="false" outlineLevel="0" collapsed="false">
      <c r="A151" s="11" t="n">
        <v>150</v>
      </c>
      <c r="B151" s="11" t="s">
        <v>495</v>
      </c>
      <c r="C151" s="11" t="s">
        <v>41</v>
      </c>
      <c r="D151" s="11" t="s">
        <v>398</v>
      </c>
      <c r="E151" s="11"/>
      <c r="F151" s="11"/>
      <c r="G151" s="11" t="s">
        <v>572</v>
      </c>
      <c r="H151" s="11" t="s">
        <v>60</v>
      </c>
      <c r="I151" s="11" t="s">
        <v>573</v>
      </c>
      <c r="J151" s="11" t="s">
        <v>574</v>
      </c>
      <c r="K151" s="11" t="s">
        <v>92</v>
      </c>
      <c r="L151" s="12" t="s">
        <v>575</v>
      </c>
    </row>
    <row r="152" customFormat="false" ht="22.35" hidden="false" customHeight="false" outlineLevel="0" collapsed="false">
      <c r="A152" s="11" t="n">
        <v>151</v>
      </c>
      <c r="B152" s="11" t="s">
        <v>495</v>
      </c>
      <c r="C152" s="11" t="s">
        <v>41</v>
      </c>
      <c r="D152" s="11" t="s">
        <v>398</v>
      </c>
      <c r="E152" s="11"/>
      <c r="F152" s="11"/>
      <c r="G152" s="11" t="s">
        <v>576</v>
      </c>
      <c r="H152" s="11" t="s">
        <v>54</v>
      </c>
      <c r="I152" s="11" t="s">
        <v>577</v>
      </c>
      <c r="J152" s="11" t="s">
        <v>578</v>
      </c>
      <c r="K152" s="11" t="s">
        <v>48</v>
      </c>
      <c r="L152" s="11"/>
    </row>
    <row r="153" customFormat="false" ht="22.35" hidden="false" customHeight="false" outlineLevel="0" collapsed="false">
      <c r="A153" s="11" t="n">
        <v>152</v>
      </c>
      <c r="B153" s="11" t="s">
        <v>495</v>
      </c>
      <c r="C153" s="11" t="s">
        <v>41</v>
      </c>
      <c r="D153" s="11" t="s">
        <v>398</v>
      </c>
      <c r="E153" s="11"/>
      <c r="F153" s="11"/>
      <c r="G153" s="11" t="s">
        <v>579</v>
      </c>
      <c r="H153" s="11" t="s">
        <v>580</v>
      </c>
      <c r="I153" s="11" t="s">
        <v>581</v>
      </c>
      <c r="J153" s="11" t="s">
        <v>47</v>
      </c>
      <c r="K153" s="11" t="s">
        <v>48</v>
      </c>
      <c r="L153" s="12" t="s">
        <v>582</v>
      </c>
    </row>
    <row r="154" customFormat="false" ht="32.8" hidden="false" customHeight="false" outlineLevel="0" collapsed="false">
      <c r="A154" s="11" t="n">
        <v>153</v>
      </c>
      <c r="B154" s="11" t="s">
        <v>495</v>
      </c>
      <c r="C154" s="11" t="s">
        <v>41</v>
      </c>
      <c r="D154" s="11" t="s">
        <v>398</v>
      </c>
      <c r="E154" s="11"/>
      <c r="F154" s="11" t="s">
        <v>94</v>
      </c>
      <c r="G154" s="11" t="s">
        <v>583</v>
      </c>
      <c r="H154" s="11" t="s">
        <v>45</v>
      </c>
      <c r="I154" s="11" t="s">
        <v>96</v>
      </c>
      <c r="J154" s="11" t="s">
        <v>97</v>
      </c>
      <c r="K154" s="11" t="s">
        <v>48</v>
      </c>
      <c r="L154" s="12" t="s">
        <v>98</v>
      </c>
    </row>
    <row r="155" customFormat="false" ht="22.35" hidden="false" customHeight="false" outlineLevel="0" collapsed="false">
      <c r="A155" s="11" t="n">
        <v>154</v>
      </c>
      <c r="B155" s="11" t="s">
        <v>495</v>
      </c>
      <c r="C155" s="11" t="s">
        <v>41</v>
      </c>
      <c r="D155" s="11" t="s">
        <v>398</v>
      </c>
      <c r="E155" s="11"/>
      <c r="F155" s="11"/>
      <c r="G155" s="11" t="s">
        <v>402</v>
      </c>
      <c r="H155" s="11" t="s">
        <v>107</v>
      </c>
      <c r="I155" s="11" t="s">
        <v>584</v>
      </c>
      <c r="J155" s="11" t="s">
        <v>585</v>
      </c>
      <c r="K155" s="11" t="s">
        <v>405</v>
      </c>
      <c r="L155" s="11"/>
    </row>
    <row r="156" customFormat="false" ht="22.35" hidden="false" customHeight="false" outlineLevel="0" collapsed="false">
      <c r="A156" s="11" t="n">
        <v>155</v>
      </c>
      <c r="B156" s="11" t="s">
        <v>495</v>
      </c>
      <c r="C156" s="11" t="s">
        <v>41</v>
      </c>
      <c r="D156" s="11" t="s">
        <v>398</v>
      </c>
      <c r="E156" s="11"/>
      <c r="F156" s="11"/>
      <c r="G156" s="11" t="s">
        <v>402</v>
      </c>
      <c r="H156" s="11" t="s">
        <v>107</v>
      </c>
      <c r="I156" s="11" t="s">
        <v>586</v>
      </c>
      <c r="J156" s="11" t="s">
        <v>585</v>
      </c>
      <c r="K156" s="11" t="s">
        <v>405</v>
      </c>
      <c r="L156" s="11"/>
    </row>
    <row r="157" customFormat="false" ht="22.35" hidden="false" customHeight="false" outlineLevel="0" collapsed="false">
      <c r="A157" s="11" t="n">
        <v>156</v>
      </c>
      <c r="B157" s="11" t="s">
        <v>495</v>
      </c>
      <c r="C157" s="11" t="s">
        <v>41</v>
      </c>
      <c r="D157" s="11" t="s">
        <v>398</v>
      </c>
      <c r="E157" s="11"/>
      <c r="F157" s="11" t="s">
        <v>401</v>
      </c>
      <c r="G157" s="11" t="s">
        <v>402</v>
      </c>
      <c r="H157" s="11" t="s">
        <v>84</v>
      </c>
      <c r="I157" s="11" t="s">
        <v>587</v>
      </c>
      <c r="J157" s="11" t="s">
        <v>585</v>
      </c>
      <c r="K157" s="11" t="s">
        <v>405</v>
      </c>
      <c r="L157" s="11"/>
    </row>
    <row r="158" customFormat="false" ht="22.35" hidden="false" customHeight="false" outlineLevel="0" collapsed="false">
      <c r="A158" s="11" t="n">
        <v>157</v>
      </c>
      <c r="B158" s="11" t="s">
        <v>495</v>
      </c>
      <c r="C158" s="11" t="s">
        <v>41</v>
      </c>
      <c r="D158" s="11" t="s">
        <v>398</v>
      </c>
      <c r="E158" s="11"/>
      <c r="F158" s="11"/>
      <c r="G158" s="11" t="s">
        <v>402</v>
      </c>
      <c r="H158" s="11" t="s">
        <v>198</v>
      </c>
      <c r="I158" s="11" t="s">
        <v>588</v>
      </c>
      <c r="J158" s="11" t="s">
        <v>585</v>
      </c>
      <c r="K158" s="11" t="s">
        <v>405</v>
      </c>
      <c r="L158" s="11"/>
    </row>
    <row r="159" customFormat="false" ht="22.35" hidden="false" customHeight="false" outlineLevel="0" collapsed="false">
      <c r="A159" s="11" t="n">
        <v>158</v>
      </c>
      <c r="B159" s="11" t="s">
        <v>495</v>
      </c>
      <c r="C159" s="11" t="s">
        <v>41</v>
      </c>
      <c r="D159" s="11" t="s">
        <v>398</v>
      </c>
      <c r="E159" s="11"/>
      <c r="F159" s="11"/>
      <c r="G159" s="11" t="s">
        <v>402</v>
      </c>
      <c r="H159" s="11" t="s">
        <v>198</v>
      </c>
      <c r="I159" s="11" t="s">
        <v>589</v>
      </c>
      <c r="J159" s="11" t="s">
        <v>585</v>
      </c>
      <c r="K159" s="11" t="s">
        <v>405</v>
      </c>
      <c r="L159" s="11"/>
    </row>
    <row r="160" customFormat="false" ht="22.35" hidden="false" customHeight="false" outlineLevel="0" collapsed="false">
      <c r="A160" s="11" t="n">
        <v>159</v>
      </c>
      <c r="B160" s="11" t="s">
        <v>495</v>
      </c>
      <c r="C160" s="11" t="s">
        <v>41</v>
      </c>
      <c r="D160" s="11" t="s">
        <v>398</v>
      </c>
      <c r="E160" s="11"/>
      <c r="F160" s="11"/>
      <c r="G160" s="11" t="s">
        <v>402</v>
      </c>
      <c r="H160" s="11" t="s">
        <v>590</v>
      </c>
      <c r="I160" s="11" t="s">
        <v>591</v>
      </c>
      <c r="J160" s="11" t="s">
        <v>585</v>
      </c>
      <c r="K160" s="11" t="s">
        <v>405</v>
      </c>
      <c r="L160" s="11"/>
    </row>
    <row r="161" customFormat="false" ht="22.35" hidden="false" customHeight="false" outlineLevel="0" collapsed="false">
      <c r="A161" s="11" t="n">
        <v>160</v>
      </c>
      <c r="B161" s="11" t="s">
        <v>495</v>
      </c>
      <c r="C161" s="11" t="s">
        <v>41</v>
      </c>
      <c r="D161" s="11" t="s">
        <v>398</v>
      </c>
      <c r="E161" s="11"/>
      <c r="F161" s="11"/>
      <c r="G161" s="11" t="s">
        <v>402</v>
      </c>
      <c r="H161" s="11" t="s">
        <v>107</v>
      </c>
      <c r="I161" s="11" t="s">
        <v>592</v>
      </c>
      <c r="J161" s="11" t="s">
        <v>585</v>
      </c>
      <c r="K161" s="11" t="s">
        <v>405</v>
      </c>
      <c r="L161" s="11"/>
    </row>
    <row r="162" customFormat="false" ht="22.35" hidden="false" customHeight="false" outlineLevel="0" collapsed="false">
      <c r="A162" s="11" t="n">
        <v>161</v>
      </c>
      <c r="B162" s="11" t="s">
        <v>495</v>
      </c>
      <c r="C162" s="11" t="s">
        <v>41</v>
      </c>
      <c r="D162" s="11" t="s">
        <v>398</v>
      </c>
      <c r="E162" s="11"/>
      <c r="F162" s="11"/>
      <c r="G162" s="11" t="s">
        <v>402</v>
      </c>
      <c r="H162" s="11" t="s">
        <v>107</v>
      </c>
      <c r="I162" s="11" t="s">
        <v>593</v>
      </c>
      <c r="J162" s="11" t="s">
        <v>585</v>
      </c>
      <c r="K162" s="11" t="s">
        <v>405</v>
      </c>
      <c r="L162" s="11"/>
    </row>
    <row r="163" customFormat="false" ht="32.8" hidden="false" customHeight="false" outlineLevel="0" collapsed="false">
      <c r="A163" s="11" t="n">
        <v>162</v>
      </c>
      <c r="B163" s="11" t="s">
        <v>495</v>
      </c>
      <c r="C163" s="11" t="s">
        <v>41</v>
      </c>
      <c r="D163" s="11" t="s">
        <v>398</v>
      </c>
      <c r="E163" s="11"/>
      <c r="F163" s="11"/>
      <c r="G163" s="11" t="s">
        <v>594</v>
      </c>
      <c r="H163" s="11" t="s">
        <v>107</v>
      </c>
      <c r="I163" s="11" t="s">
        <v>595</v>
      </c>
      <c r="J163" s="11" t="s">
        <v>596</v>
      </c>
      <c r="K163" s="11" t="s">
        <v>597</v>
      </c>
      <c r="L163" s="11"/>
    </row>
    <row r="164" customFormat="false" ht="22.35" hidden="false" customHeight="false" outlineLevel="0" collapsed="false">
      <c r="A164" s="11" t="n">
        <v>163</v>
      </c>
      <c r="B164" s="11" t="s">
        <v>495</v>
      </c>
      <c r="C164" s="11" t="s">
        <v>41</v>
      </c>
      <c r="D164" s="11" t="s">
        <v>398</v>
      </c>
      <c r="E164" s="11"/>
      <c r="F164" s="11"/>
      <c r="G164" s="11" t="s">
        <v>598</v>
      </c>
      <c r="H164" s="11" t="s">
        <v>45</v>
      </c>
      <c r="I164" s="11" t="s">
        <v>599</v>
      </c>
      <c r="J164" s="11" t="s">
        <v>600</v>
      </c>
      <c r="K164" s="11" t="s">
        <v>48</v>
      </c>
      <c r="L164" s="12" t="s">
        <v>601</v>
      </c>
    </row>
    <row r="165" customFormat="false" ht="22.35" hidden="false" customHeight="false" outlineLevel="0" collapsed="false">
      <c r="A165" s="11" t="n">
        <v>164</v>
      </c>
      <c r="B165" s="11" t="s">
        <v>495</v>
      </c>
      <c r="C165" s="11" t="s">
        <v>41</v>
      </c>
      <c r="D165" s="11" t="s">
        <v>398</v>
      </c>
      <c r="E165" s="11"/>
      <c r="F165" s="11"/>
      <c r="G165" s="11" t="s">
        <v>602</v>
      </c>
      <c r="H165" s="11" t="s">
        <v>189</v>
      </c>
      <c r="I165" s="11" t="s">
        <v>603</v>
      </c>
      <c r="J165" s="11" t="s">
        <v>604</v>
      </c>
      <c r="K165" s="11" t="s">
        <v>48</v>
      </c>
      <c r="L165" s="12" t="s">
        <v>605</v>
      </c>
    </row>
    <row r="166" customFormat="false" ht="32.8" hidden="false" customHeight="false" outlineLevel="0" collapsed="false">
      <c r="A166" s="11" t="n">
        <v>165</v>
      </c>
      <c r="B166" s="11" t="s">
        <v>495</v>
      </c>
      <c r="C166" s="11" t="s">
        <v>41</v>
      </c>
      <c r="D166" s="11" t="s">
        <v>398</v>
      </c>
      <c r="E166" s="11"/>
      <c r="F166" s="11"/>
      <c r="G166" s="11" t="s">
        <v>594</v>
      </c>
      <c r="H166" s="11" t="s">
        <v>107</v>
      </c>
      <c r="I166" s="11" t="s">
        <v>606</v>
      </c>
      <c r="J166" s="11" t="s">
        <v>596</v>
      </c>
      <c r="K166" s="11" t="s">
        <v>597</v>
      </c>
      <c r="L166" s="11"/>
    </row>
    <row r="167" customFormat="false" ht="32.8" hidden="false" customHeight="false" outlineLevel="0" collapsed="false">
      <c r="A167" s="11" t="n">
        <v>166</v>
      </c>
      <c r="B167" s="11" t="s">
        <v>495</v>
      </c>
      <c r="C167" s="11" t="s">
        <v>41</v>
      </c>
      <c r="D167" s="11" t="s">
        <v>398</v>
      </c>
      <c r="E167" s="11"/>
      <c r="F167" s="11"/>
      <c r="G167" s="11" t="s">
        <v>594</v>
      </c>
      <c r="H167" s="11" t="s">
        <v>189</v>
      </c>
      <c r="I167" s="11" t="s">
        <v>607</v>
      </c>
      <c r="J167" s="11" t="s">
        <v>596</v>
      </c>
      <c r="K167" s="11" t="s">
        <v>597</v>
      </c>
      <c r="L167" s="11"/>
    </row>
    <row r="168" customFormat="false" ht="32.8" hidden="false" customHeight="false" outlineLevel="0" collapsed="false">
      <c r="A168" s="11" t="n">
        <v>167</v>
      </c>
      <c r="B168" s="11" t="s">
        <v>495</v>
      </c>
      <c r="C168" s="11" t="s">
        <v>41</v>
      </c>
      <c r="D168" s="11" t="s">
        <v>398</v>
      </c>
      <c r="E168" s="11"/>
      <c r="F168" s="11"/>
      <c r="G168" s="11" t="s">
        <v>594</v>
      </c>
      <c r="H168" s="11" t="s">
        <v>198</v>
      </c>
      <c r="I168" s="11" t="s">
        <v>608</v>
      </c>
      <c r="J168" s="11" t="s">
        <v>596</v>
      </c>
      <c r="K168" s="11" t="s">
        <v>597</v>
      </c>
      <c r="L168" s="11"/>
    </row>
    <row r="169" customFormat="false" ht="32.8" hidden="false" customHeight="false" outlineLevel="0" collapsed="false">
      <c r="A169" s="11" t="n">
        <v>168</v>
      </c>
      <c r="B169" s="11" t="s">
        <v>495</v>
      </c>
      <c r="C169" s="11" t="s">
        <v>41</v>
      </c>
      <c r="D169" s="11" t="s">
        <v>398</v>
      </c>
      <c r="E169" s="11"/>
      <c r="F169" s="11"/>
      <c r="G169" s="11" t="s">
        <v>594</v>
      </c>
      <c r="H169" s="11" t="s">
        <v>107</v>
      </c>
      <c r="I169" s="11" t="s">
        <v>609</v>
      </c>
      <c r="J169" s="11" t="s">
        <v>596</v>
      </c>
      <c r="K169" s="11" t="s">
        <v>597</v>
      </c>
      <c r="L169" s="11"/>
    </row>
    <row r="170" customFormat="false" ht="32.8" hidden="false" customHeight="false" outlineLevel="0" collapsed="false">
      <c r="A170" s="11" t="n">
        <v>169</v>
      </c>
      <c r="B170" s="11" t="s">
        <v>495</v>
      </c>
      <c r="C170" s="11" t="s">
        <v>41</v>
      </c>
      <c r="D170" s="11" t="s">
        <v>398</v>
      </c>
      <c r="E170" s="11"/>
      <c r="F170" s="11"/>
      <c r="G170" s="11" t="s">
        <v>594</v>
      </c>
      <c r="H170" s="11" t="s">
        <v>152</v>
      </c>
      <c r="I170" s="11" t="s">
        <v>610</v>
      </c>
      <c r="J170" s="11" t="s">
        <v>596</v>
      </c>
      <c r="K170" s="11" t="s">
        <v>597</v>
      </c>
      <c r="L170" s="11"/>
    </row>
    <row r="171" customFormat="false" ht="32.8" hidden="false" customHeight="false" outlineLevel="0" collapsed="false">
      <c r="A171" s="11" t="n">
        <v>170</v>
      </c>
      <c r="B171" s="11" t="s">
        <v>495</v>
      </c>
      <c r="C171" s="11" t="s">
        <v>41</v>
      </c>
      <c r="D171" s="11" t="s">
        <v>398</v>
      </c>
      <c r="E171" s="11"/>
      <c r="F171" s="11"/>
      <c r="G171" s="11" t="s">
        <v>594</v>
      </c>
      <c r="H171" s="11" t="s">
        <v>45</v>
      </c>
      <c r="I171" s="11" t="s">
        <v>611</v>
      </c>
      <c r="J171" s="11" t="s">
        <v>596</v>
      </c>
      <c r="K171" s="11" t="s">
        <v>597</v>
      </c>
      <c r="L171" s="11"/>
    </row>
    <row r="172" customFormat="false" ht="32.8" hidden="false" customHeight="false" outlineLevel="0" collapsed="false">
      <c r="A172" s="11" t="n">
        <v>171</v>
      </c>
      <c r="B172" s="11" t="s">
        <v>495</v>
      </c>
      <c r="C172" s="11" t="s">
        <v>41</v>
      </c>
      <c r="D172" s="11" t="s">
        <v>398</v>
      </c>
      <c r="E172" s="11"/>
      <c r="F172" s="11"/>
      <c r="G172" s="11" t="s">
        <v>594</v>
      </c>
      <c r="H172" s="11" t="s">
        <v>189</v>
      </c>
      <c r="I172" s="11" t="s">
        <v>612</v>
      </c>
      <c r="J172" s="11" t="s">
        <v>596</v>
      </c>
      <c r="K172" s="11" t="s">
        <v>597</v>
      </c>
      <c r="L172" s="11"/>
    </row>
    <row r="173" customFormat="false" ht="32.8" hidden="false" customHeight="false" outlineLevel="0" collapsed="false">
      <c r="A173" s="11" t="n">
        <v>172</v>
      </c>
      <c r="B173" s="11" t="s">
        <v>495</v>
      </c>
      <c r="C173" s="11" t="s">
        <v>41</v>
      </c>
      <c r="D173" s="11" t="s">
        <v>398</v>
      </c>
      <c r="E173" s="11"/>
      <c r="F173" s="11"/>
      <c r="G173" s="11" t="s">
        <v>594</v>
      </c>
      <c r="H173" s="11" t="s">
        <v>77</v>
      </c>
      <c r="I173" s="11" t="s">
        <v>613</v>
      </c>
      <c r="J173" s="11" t="s">
        <v>596</v>
      </c>
      <c r="K173" s="11" t="s">
        <v>597</v>
      </c>
      <c r="L173" s="11"/>
    </row>
    <row r="174" customFormat="false" ht="32.8" hidden="false" customHeight="false" outlineLevel="0" collapsed="false">
      <c r="A174" s="11" t="n">
        <v>173</v>
      </c>
      <c r="B174" s="11" t="s">
        <v>495</v>
      </c>
      <c r="C174" s="11" t="s">
        <v>41</v>
      </c>
      <c r="D174" s="11" t="s">
        <v>398</v>
      </c>
      <c r="E174" s="11"/>
      <c r="F174" s="11"/>
      <c r="G174" s="11" t="s">
        <v>594</v>
      </c>
      <c r="H174" s="11" t="s">
        <v>45</v>
      </c>
      <c r="I174" s="11" t="s">
        <v>614</v>
      </c>
      <c r="J174" s="11" t="s">
        <v>596</v>
      </c>
      <c r="K174" s="11" t="s">
        <v>597</v>
      </c>
      <c r="L174" s="11"/>
    </row>
    <row r="175" customFormat="false" ht="32.8" hidden="false" customHeight="false" outlineLevel="0" collapsed="false">
      <c r="A175" s="11" t="n">
        <v>174</v>
      </c>
      <c r="B175" s="11" t="s">
        <v>495</v>
      </c>
      <c r="C175" s="11" t="s">
        <v>41</v>
      </c>
      <c r="D175" s="11" t="s">
        <v>398</v>
      </c>
      <c r="E175" s="11"/>
      <c r="F175" s="11"/>
      <c r="G175" s="11" t="s">
        <v>594</v>
      </c>
      <c r="H175" s="11" t="s">
        <v>84</v>
      </c>
      <c r="I175" s="11" t="s">
        <v>615</v>
      </c>
      <c r="J175" s="11" t="s">
        <v>596</v>
      </c>
      <c r="K175" s="11" t="s">
        <v>597</v>
      </c>
      <c r="L175" s="11"/>
    </row>
    <row r="176" customFormat="false" ht="22.35" hidden="false" customHeight="false" outlineLevel="0" collapsed="false">
      <c r="A176" s="11" t="n">
        <v>175</v>
      </c>
      <c r="B176" s="11" t="s">
        <v>495</v>
      </c>
      <c r="C176" s="11" t="s">
        <v>41</v>
      </c>
      <c r="D176" s="11" t="s">
        <v>398</v>
      </c>
      <c r="E176" s="11"/>
      <c r="F176" s="11"/>
      <c r="G176" s="11" t="s">
        <v>616</v>
      </c>
      <c r="H176" s="11" t="s">
        <v>308</v>
      </c>
      <c r="I176" s="11" t="s">
        <v>617</v>
      </c>
      <c r="J176" s="11" t="s">
        <v>618</v>
      </c>
      <c r="K176" s="11" t="s">
        <v>92</v>
      </c>
      <c r="L176" s="11"/>
    </row>
    <row r="177" customFormat="false" ht="22.35" hidden="false" customHeight="false" outlineLevel="0" collapsed="false">
      <c r="A177" s="11" t="n">
        <v>176</v>
      </c>
      <c r="B177" s="11" t="s">
        <v>495</v>
      </c>
      <c r="C177" s="11" t="s">
        <v>41</v>
      </c>
      <c r="D177" s="11" t="s">
        <v>398</v>
      </c>
      <c r="E177" s="11"/>
      <c r="F177" s="11"/>
      <c r="G177" s="11" t="s">
        <v>602</v>
      </c>
      <c r="H177" s="11" t="s">
        <v>189</v>
      </c>
      <c r="I177" s="11" t="s">
        <v>603</v>
      </c>
      <c r="J177" s="11" t="s">
        <v>604</v>
      </c>
      <c r="K177" s="11" t="s">
        <v>48</v>
      </c>
      <c r="L177" s="12" t="s">
        <v>605</v>
      </c>
    </row>
    <row r="178" customFormat="false" ht="22.35" hidden="false" customHeight="false" outlineLevel="0" collapsed="false">
      <c r="A178" s="11" t="n">
        <v>177</v>
      </c>
      <c r="B178" s="11" t="s">
        <v>495</v>
      </c>
      <c r="C178" s="11" t="s">
        <v>41</v>
      </c>
      <c r="D178" s="11" t="s">
        <v>398</v>
      </c>
      <c r="E178" s="11"/>
      <c r="F178" s="11"/>
      <c r="G178" s="11" t="s">
        <v>619</v>
      </c>
      <c r="H178" s="11" t="s">
        <v>118</v>
      </c>
      <c r="I178" s="11" t="s">
        <v>620</v>
      </c>
      <c r="J178" s="11" t="s">
        <v>47</v>
      </c>
      <c r="K178" s="11" t="s">
        <v>254</v>
      </c>
      <c r="L178" s="12" t="s">
        <v>621</v>
      </c>
    </row>
    <row r="179" customFormat="false" ht="43.25" hidden="false" customHeight="false" outlineLevel="0" collapsed="false">
      <c r="A179" s="11" t="n">
        <v>178</v>
      </c>
      <c r="B179" s="11" t="s">
        <v>495</v>
      </c>
      <c r="C179" s="11" t="s">
        <v>41</v>
      </c>
      <c r="D179" s="11" t="s">
        <v>398</v>
      </c>
      <c r="E179" s="11"/>
      <c r="F179" s="11"/>
      <c r="G179" s="11" t="s">
        <v>622</v>
      </c>
      <c r="H179" s="11" t="s">
        <v>60</v>
      </c>
      <c r="I179" s="11" t="s">
        <v>623</v>
      </c>
      <c r="J179" s="11" t="s">
        <v>624</v>
      </c>
      <c r="K179" s="11" t="s">
        <v>92</v>
      </c>
      <c r="L179" s="11"/>
    </row>
    <row r="180" customFormat="false" ht="22.35" hidden="false" customHeight="false" outlineLevel="0" collapsed="false">
      <c r="A180" s="11" t="n">
        <v>179</v>
      </c>
      <c r="B180" s="11" t="s">
        <v>495</v>
      </c>
      <c r="C180" s="11" t="s">
        <v>41</v>
      </c>
      <c r="D180" s="11" t="s">
        <v>398</v>
      </c>
      <c r="E180" s="11"/>
      <c r="F180" s="11"/>
      <c r="G180" s="11" t="s">
        <v>625</v>
      </c>
      <c r="H180" s="11" t="s">
        <v>135</v>
      </c>
      <c r="I180" s="11" t="s">
        <v>626</v>
      </c>
      <c r="J180" s="11" t="s">
        <v>627</v>
      </c>
      <c r="K180" s="11" t="s">
        <v>92</v>
      </c>
      <c r="L180" s="11"/>
    </row>
    <row r="181" customFormat="false" ht="22.35" hidden="false" customHeight="false" outlineLevel="0" collapsed="false">
      <c r="A181" s="11" t="n">
        <v>180</v>
      </c>
      <c r="B181" s="11" t="s">
        <v>495</v>
      </c>
      <c r="C181" s="11" t="s">
        <v>41</v>
      </c>
      <c r="D181" s="11" t="s">
        <v>398</v>
      </c>
      <c r="E181" s="11"/>
      <c r="F181" s="11"/>
      <c r="G181" s="11" t="s">
        <v>628</v>
      </c>
      <c r="H181" s="11" t="s">
        <v>107</v>
      </c>
      <c r="I181" s="11" t="s">
        <v>629</v>
      </c>
      <c r="J181" s="11" t="s">
        <v>630</v>
      </c>
      <c r="K181" s="11" t="s">
        <v>48</v>
      </c>
      <c r="L181" s="12" t="s">
        <v>631</v>
      </c>
    </row>
    <row r="182" customFormat="false" ht="22.35" hidden="false" customHeight="false" outlineLevel="0" collapsed="false">
      <c r="A182" s="11" t="n">
        <v>181</v>
      </c>
      <c r="B182" s="11" t="s">
        <v>495</v>
      </c>
      <c r="C182" s="11" t="s">
        <v>41</v>
      </c>
      <c r="D182" s="11" t="s">
        <v>398</v>
      </c>
      <c r="E182" s="11"/>
      <c r="F182" s="11" t="s">
        <v>116</v>
      </c>
      <c r="G182" s="11" t="s">
        <v>632</v>
      </c>
      <c r="H182" s="11" t="s">
        <v>118</v>
      </c>
      <c r="I182" s="11" t="s">
        <v>119</v>
      </c>
      <c r="J182" s="11" t="s">
        <v>120</v>
      </c>
      <c r="K182" s="11" t="s">
        <v>48</v>
      </c>
      <c r="L182" s="12" t="s">
        <v>121</v>
      </c>
    </row>
    <row r="183" customFormat="false" ht="22.35" hidden="false" customHeight="false" outlineLevel="0" collapsed="false">
      <c r="A183" s="11" t="n">
        <v>182</v>
      </c>
      <c r="B183" s="11" t="s">
        <v>495</v>
      </c>
      <c r="C183" s="11" t="s">
        <v>41</v>
      </c>
      <c r="D183" s="11" t="s">
        <v>398</v>
      </c>
      <c r="E183" s="11"/>
      <c r="F183" s="11"/>
      <c r="G183" s="11" t="s">
        <v>633</v>
      </c>
      <c r="H183" s="11" t="s">
        <v>634</v>
      </c>
      <c r="I183" s="11" t="s">
        <v>635</v>
      </c>
      <c r="J183" s="11" t="s">
        <v>636</v>
      </c>
      <c r="K183" s="11" t="s">
        <v>48</v>
      </c>
      <c r="L183" s="12" t="s">
        <v>637</v>
      </c>
    </row>
    <row r="184" customFormat="false" ht="22.35" hidden="false" customHeight="false" outlineLevel="0" collapsed="false">
      <c r="A184" s="11" t="n">
        <v>183</v>
      </c>
      <c r="B184" s="11" t="s">
        <v>495</v>
      </c>
      <c r="C184" s="11" t="s">
        <v>41</v>
      </c>
      <c r="D184" s="11" t="s">
        <v>398</v>
      </c>
      <c r="E184" s="11"/>
      <c r="F184" s="11" t="s">
        <v>318</v>
      </c>
      <c r="G184" s="11" t="s">
        <v>638</v>
      </c>
      <c r="H184" s="11" t="s">
        <v>107</v>
      </c>
      <c r="I184" s="11" t="s">
        <v>639</v>
      </c>
      <c r="J184" s="11" t="s">
        <v>321</v>
      </c>
      <c r="K184" s="11" t="s">
        <v>640</v>
      </c>
      <c r="L184" s="12" t="s">
        <v>322</v>
      </c>
    </row>
    <row r="185" customFormat="false" ht="22.35" hidden="false" customHeight="false" outlineLevel="0" collapsed="false">
      <c r="A185" s="11" t="n">
        <v>184</v>
      </c>
      <c r="B185" s="11" t="s">
        <v>495</v>
      </c>
      <c r="C185" s="11" t="s">
        <v>41</v>
      </c>
      <c r="D185" s="11" t="s">
        <v>398</v>
      </c>
      <c r="E185" s="11"/>
      <c r="F185" s="11"/>
      <c r="G185" s="11" t="s">
        <v>641</v>
      </c>
      <c r="H185" s="11" t="s">
        <v>176</v>
      </c>
      <c r="I185" s="11" t="s">
        <v>642</v>
      </c>
      <c r="J185" s="11" t="s">
        <v>643</v>
      </c>
      <c r="K185" s="11" t="s">
        <v>644</v>
      </c>
      <c r="L185" s="11"/>
    </row>
    <row r="186" customFormat="false" ht="22.35" hidden="false" customHeight="false" outlineLevel="0" collapsed="false">
      <c r="A186" s="11" t="n">
        <v>185</v>
      </c>
      <c r="B186" s="11" t="s">
        <v>495</v>
      </c>
      <c r="C186" s="11" t="s">
        <v>41</v>
      </c>
      <c r="D186" s="11" t="s">
        <v>398</v>
      </c>
      <c r="E186" s="11"/>
      <c r="F186" s="11"/>
      <c r="G186" s="11" t="s">
        <v>645</v>
      </c>
      <c r="H186" s="11" t="s">
        <v>107</v>
      </c>
      <c r="I186" s="11" t="s">
        <v>646</v>
      </c>
      <c r="J186" s="11" t="s">
        <v>645</v>
      </c>
      <c r="K186" s="11" t="s">
        <v>647</v>
      </c>
      <c r="L186" s="11"/>
    </row>
    <row r="187" customFormat="false" ht="22.35" hidden="false" customHeight="false" outlineLevel="0" collapsed="false">
      <c r="A187" s="11" t="n">
        <v>186</v>
      </c>
      <c r="B187" s="11" t="s">
        <v>495</v>
      </c>
      <c r="C187" s="11" t="s">
        <v>41</v>
      </c>
      <c r="D187" s="11" t="s">
        <v>398</v>
      </c>
      <c r="E187" s="11"/>
      <c r="F187" s="11"/>
      <c r="G187" s="11" t="s">
        <v>648</v>
      </c>
      <c r="H187" s="11" t="s">
        <v>515</v>
      </c>
      <c r="I187" s="11" t="s">
        <v>649</v>
      </c>
      <c r="J187" s="11" t="s">
        <v>650</v>
      </c>
      <c r="K187" s="11" t="s">
        <v>651</v>
      </c>
      <c r="L187" s="11"/>
    </row>
    <row r="188" customFormat="false" ht="22.35" hidden="false" customHeight="false" outlineLevel="0" collapsed="false">
      <c r="A188" s="11" t="n">
        <v>187</v>
      </c>
      <c r="B188" s="11" t="s">
        <v>495</v>
      </c>
      <c r="C188" s="11" t="s">
        <v>41</v>
      </c>
      <c r="D188" s="11" t="s">
        <v>398</v>
      </c>
      <c r="E188" s="11"/>
      <c r="F188" s="11"/>
      <c r="G188" s="11" t="s">
        <v>652</v>
      </c>
      <c r="H188" s="11" t="s">
        <v>653</v>
      </c>
      <c r="I188" s="11" t="s">
        <v>654</v>
      </c>
      <c r="J188" s="11" t="s">
        <v>655</v>
      </c>
      <c r="K188" s="11" t="s">
        <v>656</v>
      </c>
      <c r="L188" s="11"/>
    </row>
    <row r="189" customFormat="false" ht="22.35" hidden="false" customHeight="false" outlineLevel="0" collapsed="false">
      <c r="A189" s="11" t="n">
        <v>188</v>
      </c>
      <c r="B189" s="11" t="s">
        <v>495</v>
      </c>
      <c r="C189" s="11" t="s">
        <v>41</v>
      </c>
      <c r="D189" s="11" t="s">
        <v>398</v>
      </c>
      <c r="E189" s="11"/>
      <c r="F189" s="11"/>
      <c r="G189" s="11" t="s">
        <v>657</v>
      </c>
      <c r="H189" s="11" t="s">
        <v>135</v>
      </c>
      <c r="I189" s="11" t="s">
        <v>658</v>
      </c>
      <c r="J189" s="11" t="s">
        <v>659</v>
      </c>
      <c r="K189" s="11" t="s">
        <v>660</v>
      </c>
      <c r="L189" s="11"/>
    </row>
    <row r="190" customFormat="false" ht="22.35" hidden="false" customHeight="false" outlineLevel="0" collapsed="false">
      <c r="A190" s="11" t="n">
        <v>189</v>
      </c>
      <c r="B190" s="11" t="s">
        <v>495</v>
      </c>
      <c r="C190" s="11" t="s">
        <v>41</v>
      </c>
      <c r="D190" s="11" t="s">
        <v>398</v>
      </c>
      <c r="E190" s="11"/>
      <c r="F190" s="11"/>
      <c r="G190" s="11" t="s">
        <v>661</v>
      </c>
      <c r="H190" s="11" t="s">
        <v>515</v>
      </c>
      <c r="I190" s="11" t="s">
        <v>662</v>
      </c>
      <c r="J190" s="11" t="s">
        <v>418</v>
      </c>
      <c r="K190" s="11" t="s">
        <v>660</v>
      </c>
      <c r="L190" s="11"/>
    </row>
    <row r="191" customFormat="false" ht="22.35" hidden="false" customHeight="false" outlineLevel="0" collapsed="false">
      <c r="A191" s="11" t="n">
        <v>190</v>
      </c>
      <c r="B191" s="11" t="s">
        <v>495</v>
      </c>
      <c r="C191" s="11" t="s">
        <v>41</v>
      </c>
      <c r="D191" s="11" t="s">
        <v>398</v>
      </c>
      <c r="E191" s="11"/>
      <c r="F191" s="11"/>
      <c r="G191" s="11" t="s">
        <v>418</v>
      </c>
      <c r="H191" s="11" t="s">
        <v>198</v>
      </c>
      <c r="I191" s="11" t="s">
        <v>663</v>
      </c>
      <c r="J191" s="11" t="s">
        <v>418</v>
      </c>
      <c r="K191" s="11" t="s">
        <v>660</v>
      </c>
      <c r="L191" s="11"/>
    </row>
    <row r="192" customFormat="false" ht="22.35" hidden="false" customHeight="false" outlineLevel="0" collapsed="false">
      <c r="A192" s="11" t="n">
        <v>191</v>
      </c>
      <c r="B192" s="11" t="s">
        <v>495</v>
      </c>
      <c r="C192" s="11" t="s">
        <v>41</v>
      </c>
      <c r="D192" s="11" t="s">
        <v>398</v>
      </c>
      <c r="E192" s="11"/>
      <c r="F192" s="11"/>
      <c r="G192" s="11" t="s">
        <v>418</v>
      </c>
      <c r="H192" s="11" t="s">
        <v>198</v>
      </c>
      <c r="I192" s="11" t="s">
        <v>664</v>
      </c>
      <c r="J192" s="11" t="s">
        <v>418</v>
      </c>
      <c r="K192" s="11" t="s">
        <v>660</v>
      </c>
      <c r="L192" s="11"/>
    </row>
    <row r="193" customFormat="false" ht="22.35" hidden="false" customHeight="false" outlineLevel="0" collapsed="false">
      <c r="A193" s="11" t="n">
        <v>192</v>
      </c>
      <c r="B193" s="11" t="s">
        <v>495</v>
      </c>
      <c r="C193" s="11" t="s">
        <v>41</v>
      </c>
      <c r="D193" s="11" t="s">
        <v>398</v>
      </c>
      <c r="E193" s="11"/>
      <c r="F193" s="11"/>
      <c r="G193" s="11" t="s">
        <v>418</v>
      </c>
      <c r="H193" s="11" t="s">
        <v>198</v>
      </c>
      <c r="I193" s="11" t="s">
        <v>665</v>
      </c>
      <c r="J193" s="11" t="s">
        <v>418</v>
      </c>
      <c r="K193" s="11" t="s">
        <v>660</v>
      </c>
      <c r="L193" s="11"/>
    </row>
    <row r="194" customFormat="false" ht="22.35" hidden="false" customHeight="false" outlineLevel="0" collapsed="false">
      <c r="A194" s="11" t="n">
        <v>193</v>
      </c>
      <c r="B194" s="11" t="s">
        <v>495</v>
      </c>
      <c r="C194" s="11" t="s">
        <v>41</v>
      </c>
      <c r="D194" s="11" t="s">
        <v>398</v>
      </c>
      <c r="E194" s="11"/>
      <c r="F194" s="11"/>
      <c r="G194" s="11" t="s">
        <v>418</v>
      </c>
      <c r="H194" s="11" t="s">
        <v>198</v>
      </c>
      <c r="I194" s="11" t="s">
        <v>666</v>
      </c>
      <c r="J194" s="11" t="s">
        <v>418</v>
      </c>
      <c r="K194" s="11" t="s">
        <v>660</v>
      </c>
      <c r="L194" s="11"/>
    </row>
    <row r="195" customFormat="false" ht="22.35" hidden="false" customHeight="false" outlineLevel="0" collapsed="false">
      <c r="A195" s="11" t="n">
        <v>194</v>
      </c>
      <c r="B195" s="11" t="s">
        <v>495</v>
      </c>
      <c r="C195" s="11" t="s">
        <v>41</v>
      </c>
      <c r="D195" s="11" t="s">
        <v>398</v>
      </c>
      <c r="E195" s="11"/>
      <c r="F195" s="11"/>
      <c r="G195" s="11" t="s">
        <v>418</v>
      </c>
      <c r="H195" s="11" t="s">
        <v>515</v>
      </c>
      <c r="I195" s="11" t="s">
        <v>667</v>
      </c>
      <c r="J195" s="11" t="s">
        <v>418</v>
      </c>
      <c r="K195" s="11" t="s">
        <v>660</v>
      </c>
      <c r="L195" s="11"/>
    </row>
    <row r="196" customFormat="false" ht="22.35" hidden="false" customHeight="false" outlineLevel="0" collapsed="false">
      <c r="A196" s="11" t="n">
        <v>195</v>
      </c>
      <c r="B196" s="11" t="s">
        <v>495</v>
      </c>
      <c r="C196" s="11" t="s">
        <v>41</v>
      </c>
      <c r="D196" s="11" t="s">
        <v>398</v>
      </c>
      <c r="E196" s="11"/>
      <c r="F196" s="11"/>
      <c r="G196" s="11" t="s">
        <v>668</v>
      </c>
      <c r="H196" s="11" t="s">
        <v>107</v>
      </c>
      <c r="I196" s="11" t="s">
        <v>669</v>
      </c>
      <c r="J196" s="11" t="s">
        <v>670</v>
      </c>
      <c r="K196" s="11" t="s">
        <v>48</v>
      </c>
      <c r="L196" s="12" t="s">
        <v>671</v>
      </c>
    </row>
    <row r="197" customFormat="false" ht="22.35" hidden="false" customHeight="false" outlineLevel="0" collapsed="false">
      <c r="A197" s="11" t="n">
        <v>196</v>
      </c>
      <c r="B197" s="11" t="s">
        <v>495</v>
      </c>
      <c r="C197" s="11" t="s">
        <v>41</v>
      </c>
      <c r="D197" s="11" t="s">
        <v>398</v>
      </c>
      <c r="E197" s="11"/>
      <c r="F197" s="11" t="s">
        <v>296</v>
      </c>
      <c r="G197" s="11" t="s">
        <v>297</v>
      </c>
      <c r="H197" s="11" t="s">
        <v>45</v>
      </c>
      <c r="I197" s="11" t="s">
        <v>298</v>
      </c>
      <c r="J197" s="11" t="s">
        <v>299</v>
      </c>
      <c r="K197" s="11" t="s">
        <v>48</v>
      </c>
      <c r="L197" s="12" t="s">
        <v>300</v>
      </c>
    </row>
    <row r="198" customFormat="false" ht="22.35" hidden="false" customHeight="false" outlineLevel="0" collapsed="false">
      <c r="A198" s="11" t="n">
        <v>197</v>
      </c>
      <c r="B198" s="11" t="s">
        <v>495</v>
      </c>
      <c r="C198" s="11" t="s">
        <v>41</v>
      </c>
      <c r="D198" s="11" t="s">
        <v>398</v>
      </c>
      <c r="E198" s="11"/>
      <c r="F198" s="11" t="s">
        <v>312</v>
      </c>
      <c r="G198" s="11" t="s">
        <v>672</v>
      </c>
      <c r="H198" s="11" t="s">
        <v>176</v>
      </c>
      <c r="I198" s="11" t="s">
        <v>673</v>
      </c>
      <c r="J198" s="11" t="s">
        <v>315</v>
      </c>
      <c r="K198" s="11" t="s">
        <v>674</v>
      </c>
      <c r="L198" s="11"/>
    </row>
    <row r="199" customFormat="false" ht="22.35" hidden="false" customHeight="false" outlineLevel="0" collapsed="false">
      <c r="A199" s="11" t="n">
        <v>198</v>
      </c>
      <c r="B199" s="11" t="s">
        <v>495</v>
      </c>
      <c r="C199" s="11" t="s">
        <v>41</v>
      </c>
      <c r="D199" s="11" t="s">
        <v>398</v>
      </c>
      <c r="E199" s="11"/>
      <c r="F199" s="11" t="s">
        <v>306</v>
      </c>
      <c r="G199" s="11" t="s">
        <v>307</v>
      </c>
      <c r="H199" s="11" t="s">
        <v>308</v>
      </c>
      <c r="I199" s="11" t="s">
        <v>309</v>
      </c>
      <c r="J199" s="11" t="s">
        <v>310</v>
      </c>
      <c r="K199" s="11" t="s">
        <v>92</v>
      </c>
      <c r="L199" s="12" t="s">
        <v>311</v>
      </c>
    </row>
    <row r="200" customFormat="false" ht="22.35" hidden="false" customHeight="false" outlineLevel="0" collapsed="false">
      <c r="A200" s="11" t="n">
        <v>199</v>
      </c>
      <c r="B200" s="11" t="s">
        <v>495</v>
      </c>
      <c r="C200" s="11" t="s">
        <v>41</v>
      </c>
      <c r="D200" s="11" t="s">
        <v>398</v>
      </c>
      <c r="E200" s="11"/>
      <c r="F200" s="11"/>
      <c r="G200" s="11" t="s">
        <v>652</v>
      </c>
      <c r="H200" s="11" t="s">
        <v>135</v>
      </c>
      <c r="I200" s="11" t="s">
        <v>675</v>
      </c>
      <c r="J200" s="11" t="s">
        <v>655</v>
      </c>
      <c r="K200" s="11" t="s">
        <v>656</v>
      </c>
      <c r="L200" s="11"/>
    </row>
    <row r="201" customFormat="false" ht="22.35" hidden="false" customHeight="false" outlineLevel="0" collapsed="false">
      <c r="A201" s="11" t="n">
        <v>200</v>
      </c>
      <c r="B201" s="11" t="s">
        <v>495</v>
      </c>
      <c r="C201" s="11" t="s">
        <v>41</v>
      </c>
      <c r="D201" s="11" t="s">
        <v>398</v>
      </c>
      <c r="E201" s="11"/>
      <c r="F201" s="11"/>
      <c r="G201" s="11" t="s">
        <v>652</v>
      </c>
      <c r="H201" s="11" t="s">
        <v>676</v>
      </c>
      <c r="I201" s="11" t="s">
        <v>677</v>
      </c>
      <c r="J201" s="11" t="s">
        <v>655</v>
      </c>
      <c r="K201" s="11" t="s">
        <v>656</v>
      </c>
      <c r="L201" s="11"/>
    </row>
    <row r="202" customFormat="false" ht="22.35" hidden="false" customHeight="false" outlineLevel="0" collapsed="false">
      <c r="A202" s="11" t="n">
        <v>201</v>
      </c>
      <c r="B202" s="11" t="s">
        <v>495</v>
      </c>
      <c r="C202" s="11" t="s">
        <v>41</v>
      </c>
      <c r="D202" s="11" t="s">
        <v>398</v>
      </c>
      <c r="E202" s="11"/>
      <c r="F202" s="11"/>
      <c r="G202" s="11" t="s">
        <v>678</v>
      </c>
      <c r="H202" s="11" t="s">
        <v>679</v>
      </c>
      <c r="I202" s="11" t="s">
        <v>680</v>
      </c>
      <c r="J202" s="11" t="s">
        <v>681</v>
      </c>
      <c r="K202" s="11" t="s">
        <v>558</v>
      </c>
      <c r="L202" s="11"/>
    </row>
    <row r="203" customFormat="false" ht="22.35" hidden="false" customHeight="false" outlineLevel="0" collapsed="false">
      <c r="A203" s="11" t="n">
        <v>202</v>
      </c>
      <c r="B203" s="11" t="s">
        <v>495</v>
      </c>
      <c r="C203" s="11" t="s">
        <v>41</v>
      </c>
      <c r="D203" s="11" t="s">
        <v>398</v>
      </c>
      <c r="E203" s="11"/>
      <c r="F203" s="11"/>
      <c r="G203" s="11" t="s">
        <v>682</v>
      </c>
      <c r="H203" s="11" t="s">
        <v>270</v>
      </c>
      <c r="I203" s="11" t="s">
        <v>683</v>
      </c>
      <c r="J203" s="11" t="s">
        <v>684</v>
      </c>
      <c r="K203" s="11" t="s">
        <v>48</v>
      </c>
      <c r="L203" s="12" t="s">
        <v>685</v>
      </c>
    </row>
    <row r="204" customFormat="false" ht="22.35" hidden="false" customHeight="false" outlineLevel="0" collapsed="false">
      <c r="A204" s="11" t="n">
        <v>203</v>
      </c>
      <c r="B204" s="11" t="s">
        <v>495</v>
      </c>
      <c r="C204" s="11" t="s">
        <v>41</v>
      </c>
      <c r="D204" s="11" t="s">
        <v>398</v>
      </c>
      <c r="E204" s="11"/>
      <c r="F204" s="11"/>
      <c r="G204" s="11" t="s">
        <v>686</v>
      </c>
      <c r="H204" s="11" t="s">
        <v>580</v>
      </c>
      <c r="I204" s="11" t="s">
        <v>687</v>
      </c>
      <c r="J204" s="11" t="s">
        <v>688</v>
      </c>
      <c r="K204" s="11" t="s">
        <v>558</v>
      </c>
      <c r="L204" s="11"/>
    </row>
    <row r="205" customFormat="false" ht="22.35" hidden="false" customHeight="false" outlineLevel="0" collapsed="false">
      <c r="A205" s="11" t="n">
        <v>204</v>
      </c>
      <c r="B205" s="11" t="s">
        <v>495</v>
      </c>
      <c r="C205" s="11" t="s">
        <v>41</v>
      </c>
      <c r="D205" s="11" t="s">
        <v>398</v>
      </c>
      <c r="E205" s="11"/>
      <c r="F205" s="11"/>
      <c r="G205" s="11" t="s">
        <v>689</v>
      </c>
      <c r="H205" s="11" t="s">
        <v>54</v>
      </c>
      <c r="I205" s="11" t="s">
        <v>690</v>
      </c>
      <c r="J205" s="11" t="s">
        <v>691</v>
      </c>
      <c r="K205" s="11" t="s">
        <v>48</v>
      </c>
      <c r="L205" s="12" t="s">
        <v>692</v>
      </c>
    </row>
    <row r="206" customFormat="false" ht="22.35" hidden="false" customHeight="false" outlineLevel="0" collapsed="false">
      <c r="A206" s="11" t="n">
        <v>205</v>
      </c>
      <c r="B206" s="11" t="s">
        <v>495</v>
      </c>
      <c r="C206" s="11" t="s">
        <v>41</v>
      </c>
      <c r="D206" s="11" t="s">
        <v>398</v>
      </c>
      <c r="E206" s="11"/>
      <c r="F206" s="11"/>
      <c r="G206" s="11" t="s">
        <v>652</v>
      </c>
      <c r="H206" s="11" t="s">
        <v>45</v>
      </c>
      <c r="I206" s="11" t="s">
        <v>693</v>
      </c>
      <c r="J206" s="11" t="s">
        <v>655</v>
      </c>
      <c r="K206" s="11" t="s">
        <v>656</v>
      </c>
      <c r="L206" s="11"/>
    </row>
    <row r="207" customFormat="false" ht="22.35" hidden="false" customHeight="false" outlineLevel="0" collapsed="false">
      <c r="A207" s="11" t="n">
        <v>206</v>
      </c>
      <c r="B207" s="11" t="s">
        <v>495</v>
      </c>
      <c r="C207" s="11" t="s">
        <v>41</v>
      </c>
      <c r="D207" s="11" t="s">
        <v>398</v>
      </c>
      <c r="E207" s="11"/>
      <c r="F207" s="11"/>
      <c r="G207" s="11" t="s">
        <v>652</v>
      </c>
      <c r="H207" s="11" t="s">
        <v>45</v>
      </c>
      <c r="I207" s="11" t="s">
        <v>694</v>
      </c>
      <c r="J207" s="11" t="s">
        <v>655</v>
      </c>
      <c r="K207" s="11" t="s">
        <v>656</v>
      </c>
      <c r="L207" s="11"/>
    </row>
    <row r="208" customFormat="false" ht="32.8" hidden="false" customHeight="false" outlineLevel="0" collapsed="false">
      <c r="A208" s="11" t="n">
        <v>207</v>
      </c>
      <c r="B208" s="11" t="s">
        <v>495</v>
      </c>
      <c r="C208" s="11" t="s">
        <v>41</v>
      </c>
      <c r="D208" s="11" t="s">
        <v>398</v>
      </c>
      <c r="E208" s="11"/>
      <c r="F208" s="11"/>
      <c r="G208" s="11" t="s">
        <v>695</v>
      </c>
      <c r="H208" s="11" t="s">
        <v>189</v>
      </c>
      <c r="I208" s="11" t="s">
        <v>696</v>
      </c>
      <c r="J208" s="11" t="s">
        <v>697</v>
      </c>
      <c r="K208" s="11" t="s">
        <v>92</v>
      </c>
      <c r="L208" s="11"/>
    </row>
    <row r="209" customFormat="false" ht="22.35" hidden="false" customHeight="false" outlineLevel="0" collapsed="false">
      <c r="A209" s="11" t="n">
        <v>208</v>
      </c>
      <c r="B209" s="11" t="s">
        <v>495</v>
      </c>
      <c r="C209" s="11" t="s">
        <v>41</v>
      </c>
      <c r="D209" s="11" t="s">
        <v>398</v>
      </c>
      <c r="E209" s="11"/>
      <c r="F209" s="11"/>
      <c r="G209" s="11" t="s">
        <v>698</v>
      </c>
      <c r="H209" s="11" t="s">
        <v>198</v>
      </c>
      <c r="I209" s="11" t="s">
        <v>699</v>
      </c>
      <c r="J209" s="11" t="s">
        <v>700</v>
      </c>
      <c r="K209" s="11" t="s">
        <v>48</v>
      </c>
      <c r="L209" s="12" t="s">
        <v>701</v>
      </c>
    </row>
    <row r="210" customFormat="false" ht="22.35" hidden="false" customHeight="false" outlineLevel="0" collapsed="false">
      <c r="A210" s="11" t="n">
        <v>209</v>
      </c>
      <c r="B210" s="11" t="s">
        <v>495</v>
      </c>
      <c r="C210" s="11" t="s">
        <v>41</v>
      </c>
      <c r="D210" s="11" t="s">
        <v>398</v>
      </c>
      <c r="E210" s="11"/>
      <c r="F210" s="11" t="s">
        <v>128</v>
      </c>
      <c r="G210" s="11" t="s">
        <v>129</v>
      </c>
      <c r="H210" s="11" t="s">
        <v>45</v>
      </c>
      <c r="I210" s="11" t="s">
        <v>130</v>
      </c>
      <c r="J210" s="11" t="s">
        <v>131</v>
      </c>
      <c r="K210" s="11" t="s">
        <v>48</v>
      </c>
      <c r="L210" s="12" t="s">
        <v>132</v>
      </c>
    </row>
    <row r="211" customFormat="false" ht="22.35" hidden="false" customHeight="false" outlineLevel="0" collapsed="false">
      <c r="A211" s="11" t="n">
        <v>210</v>
      </c>
      <c r="B211" s="11" t="s">
        <v>495</v>
      </c>
      <c r="C211" s="11" t="s">
        <v>41</v>
      </c>
      <c r="D211" s="11" t="s">
        <v>398</v>
      </c>
      <c r="E211" s="11"/>
      <c r="F211" s="11"/>
      <c r="G211" s="11" t="s">
        <v>702</v>
      </c>
      <c r="H211" s="11" t="s">
        <v>170</v>
      </c>
      <c r="I211" s="11" t="s">
        <v>703</v>
      </c>
      <c r="J211" s="11" t="s">
        <v>704</v>
      </c>
      <c r="K211" s="11" t="s">
        <v>48</v>
      </c>
      <c r="L211" s="12" t="s">
        <v>705</v>
      </c>
    </row>
    <row r="212" customFormat="false" ht="22.35" hidden="false" customHeight="false" outlineLevel="0" collapsed="false">
      <c r="A212" s="11" t="n">
        <v>211</v>
      </c>
      <c r="B212" s="11" t="s">
        <v>495</v>
      </c>
      <c r="C212" s="11" t="s">
        <v>41</v>
      </c>
      <c r="D212" s="11" t="s">
        <v>398</v>
      </c>
      <c r="E212" s="11"/>
      <c r="F212" s="11"/>
      <c r="G212" s="11" t="s">
        <v>706</v>
      </c>
      <c r="H212" s="11" t="s">
        <v>198</v>
      </c>
      <c r="I212" s="11" t="s">
        <v>707</v>
      </c>
      <c r="J212" s="11" t="s">
        <v>708</v>
      </c>
      <c r="K212" s="11" t="s">
        <v>48</v>
      </c>
      <c r="L212" s="12" t="s">
        <v>709</v>
      </c>
    </row>
    <row r="213" customFormat="false" ht="22.35" hidden="false" customHeight="false" outlineLevel="0" collapsed="false">
      <c r="A213" s="11" t="n">
        <v>212</v>
      </c>
      <c r="B213" s="11" t="s">
        <v>495</v>
      </c>
      <c r="C213" s="11" t="s">
        <v>41</v>
      </c>
      <c r="D213" s="11" t="s">
        <v>398</v>
      </c>
      <c r="E213" s="11"/>
      <c r="F213" s="11"/>
      <c r="G213" s="11" t="s">
        <v>710</v>
      </c>
      <c r="H213" s="11" t="s">
        <v>176</v>
      </c>
      <c r="I213" s="11" t="s">
        <v>711</v>
      </c>
      <c r="J213" s="11" t="s">
        <v>712</v>
      </c>
      <c r="K213" s="11" t="s">
        <v>48</v>
      </c>
      <c r="L213" s="12" t="s">
        <v>713</v>
      </c>
    </row>
    <row r="214" customFormat="false" ht="22.35" hidden="false" customHeight="false" outlineLevel="0" collapsed="false">
      <c r="A214" s="11" t="n">
        <v>213</v>
      </c>
      <c r="B214" s="11" t="s">
        <v>495</v>
      </c>
      <c r="C214" s="11" t="s">
        <v>41</v>
      </c>
      <c r="D214" s="11" t="s">
        <v>398</v>
      </c>
      <c r="E214" s="11"/>
      <c r="F214" s="11" t="s">
        <v>286</v>
      </c>
      <c r="G214" s="11" t="s">
        <v>542</v>
      </c>
      <c r="H214" s="11" t="s">
        <v>107</v>
      </c>
      <c r="I214" s="11" t="s">
        <v>714</v>
      </c>
      <c r="J214" s="11" t="s">
        <v>543</v>
      </c>
      <c r="K214" s="11" t="s">
        <v>48</v>
      </c>
      <c r="L214" s="11"/>
    </row>
    <row r="215" customFormat="false" ht="22.35" hidden="false" customHeight="false" outlineLevel="0" collapsed="false">
      <c r="A215" s="11" t="n">
        <v>214</v>
      </c>
      <c r="B215" s="11" t="s">
        <v>495</v>
      </c>
      <c r="C215" s="11" t="s">
        <v>41</v>
      </c>
      <c r="D215" s="11" t="s">
        <v>398</v>
      </c>
      <c r="E215" s="11"/>
      <c r="F215" s="11"/>
      <c r="G215" s="11" t="s">
        <v>715</v>
      </c>
      <c r="H215" s="11" t="s">
        <v>107</v>
      </c>
      <c r="I215" s="11" t="s">
        <v>716</v>
      </c>
      <c r="J215" s="11" t="s">
        <v>717</v>
      </c>
      <c r="K215" s="11" t="s">
        <v>718</v>
      </c>
      <c r="L215" s="11"/>
    </row>
    <row r="216" customFormat="false" ht="22.35" hidden="false" customHeight="false" outlineLevel="0" collapsed="false">
      <c r="A216" s="11" t="n">
        <v>215</v>
      </c>
      <c r="B216" s="11" t="s">
        <v>495</v>
      </c>
      <c r="C216" s="11" t="s">
        <v>41</v>
      </c>
      <c r="D216" s="11" t="s">
        <v>398</v>
      </c>
      <c r="E216" s="11"/>
      <c r="F216" s="11"/>
      <c r="G216" s="11" t="s">
        <v>719</v>
      </c>
      <c r="H216" s="11" t="s">
        <v>515</v>
      </c>
      <c r="I216" s="11" t="s">
        <v>720</v>
      </c>
      <c r="J216" s="11" t="s">
        <v>721</v>
      </c>
      <c r="K216" s="11" t="s">
        <v>722</v>
      </c>
      <c r="L216" s="11"/>
    </row>
    <row r="217" customFormat="false" ht="22.35" hidden="false" customHeight="false" outlineLevel="0" collapsed="false">
      <c r="A217" s="11" t="n">
        <v>216</v>
      </c>
      <c r="B217" s="11" t="s">
        <v>495</v>
      </c>
      <c r="C217" s="11" t="s">
        <v>41</v>
      </c>
      <c r="D217" s="11" t="s">
        <v>398</v>
      </c>
      <c r="E217" s="11"/>
      <c r="F217" s="11"/>
      <c r="G217" s="11" t="s">
        <v>594</v>
      </c>
      <c r="H217" s="11" t="s">
        <v>515</v>
      </c>
      <c r="I217" s="11" t="s">
        <v>723</v>
      </c>
      <c r="J217" s="11" t="s">
        <v>596</v>
      </c>
      <c r="K217" s="11" t="s">
        <v>724</v>
      </c>
      <c r="L217" s="11"/>
    </row>
    <row r="218" customFormat="false" ht="22.35" hidden="false" customHeight="false" outlineLevel="0" collapsed="false">
      <c r="A218" s="11" t="n">
        <v>217</v>
      </c>
      <c r="B218" s="11" t="s">
        <v>495</v>
      </c>
      <c r="C218" s="11" t="s">
        <v>41</v>
      </c>
      <c r="D218" s="11" t="s">
        <v>398</v>
      </c>
      <c r="E218" s="11"/>
      <c r="F218" s="11"/>
      <c r="G218" s="11" t="s">
        <v>725</v>
      </c>
      <c r="H218" s="11" t="s">
        <v>449</v>
      </c>
      <c r="I218" s="11" t="s">
        <v>726</v>
      </c>
      <c r="J218" s="11" t="s">
        <v>727</v>
      </c>
      <c r="K218" s="11" t="s">
        <v>728</v>
      </c>
      <c r="L218" s="11"/>
    </row>
    <row r="219" customFormat="false" ht="22.35" hidden="false" customHeight="false" outlineLevel="0" collapsed="false">
      <c r="A219" s="11" t="n">
        <v>218</v>
      </c>
      <c r="B219" s="11" t="s">
        <v>495</v>
      </c>
      <c r="C219" s="11" t="s">
        <v>41</v>
      </c>
      <c r="D219" s="11" t="s">
        <v>398</v>
      </c>
      <c r="E219" s="11"/>
      <c r="F219" s="11" t="s">
        <v>158</v>
      </c>
      <c r="G219" s="11" t="s">
        <v>729</v>
      </c>
      <c r="H219" s="11" t="s">
        <v>60</v>
      </c>
      <c r="I219" s="11" t="s">
        <v>730</v>
      </c>
      <c r="J219" s="11" t="s">
        <v>731</v>
      </c>
      <c r="K219" s="11" t="s">
        <v>162</v>
      </c>
      <c r="L219" s="11"/>
    </row>
    <row r="220" customFormat="false" ht="22.35" hidden="false" customHeight="false" outlineLevel="0" collapsed="false">
      <c r="A220" s="11" t="n">
        <v>219</v>
      </c>
      <c r="B220" s="11" t="s">
        <v>495</v>
      </c>
      <c r="C220" s="11" t="s">
        <v>41</v>
      </c>
      <c r="D220" s="11" t="s">
        <v>398</v>
      </c>
      <c r="E220" s="11"/>
      <c r="F220" s="11" t="s">
        <v>323</v>
      </c>
      <c r="G220" s="11" t="s">
        <v>324</v>
      </c>
      <c r="H220" s="11" t="s">
        <v>325</v>
      </c>
      <c r="I220" s="11" t="s">
        <v>326</v>
      </c>
      <c r="J220" s="11" t="s">
        <v>327</v>
      </c>
      <c r="K220" s="11" t="s">
        <v>92</v>
      </c>
      <c r="L220" s="11"/>
    </row>
    <row r="221" customFormat="false" ht="22.35" hidden="false" customHeight="false" outlineLevel="0" collapsed="false">
      <c r="A221" s="11" t="n">
        <v>220</v>
      </c>
      <c r="B221" s="11" t="s">
        <v>495</v>
      </c>
      <c r="C221" s="11" t="s">
        <v>41</v>
      </c>
      <c r="D221" s="11" t="s">
        <v>398</v>
      </c>
      <c r="E221" s="11"/>
      <c r="F221" s="11" t="s">
        <v>329</v>
      </c>
      <c r="G221" s="11" t="s">
        <v>330</v>
      </c>
      <c r="H221" s="11" t="s">
        <v>170</v>
      </c>
      <c r="I221" s="11" t="s">
        <v>331</v>
      </c>
      <c r="J221" s="11" t="s">
        <v>732</v>
      </c>
      <c r="K221" s="11" t="s">
        <v>48</v>
      </c>
      <c r="L221" s="12" t="s">
        <v>333</v>
      </c>
    </row>
    <row r="222" customFormat="false" ht="22.35" hidden="false" customHeight="false" outlineLevel="0" collapsed="false">
      <c r="A222" s="11" t="n">
        <v>221</v>
      </c>
      <c r="B222" s="11" t="s">
        <v>495</v>
      </c>
      <c r="C222" s="11" t="s">
        <v>41</v>
      </c>
      <c r="D222" s="11" t="s">
        <v>398</v>
      </c>
      <c r="E222" s="11"/>
      <c r="F222" s="11"/>
      <c r="G222" s="11" t="s">
        <v>719</v>
      </c>
      <c r="H222" s="11" t="s">
        <v>107</v>
      </c>
      <c r="I222" s="11" t="s">
        <v>733</v>
      </c>
      <c r="J222" s="11" t="s">
        <v>734</v>
      </c>
      <c r="K222" s="11" t="s">
        <v>656</v>
      </c>
      <c r="L222" s="11"/>
    </row>
    <row r="223" customFormat="false" ht="32.8" hidden="false" customHeight="false" outlineLevel="0" collapsed="false">
      <c r="A223" s="11" t="n">
        <v>222</v>
      </c>
      <c r="B223" s="11" t="s">
        <v>495</v>
      </c>
      <c r="C223" s="11" t="s">
        <v>41</v>
      </c>
      <c r="D223" s="11" t="s">
        <v>398</v>
      </c>
      <c r="E223" s="11"/>
      <c r="F223" s="11"/>
      <c r="G223" s="11" t="s">
        <v>735</v>
      </c>
      <c r="H223" s="11" t="s">
        <v>189</v>
      </c>
      <c r="I223" s="11" t="s">
        <v>736</v>
      </c>
      <c r="J223" s="11" t="s">
        <v>737</v>
      </c>
      <c r="K223" s="11" t="s">
        <v>92</v>
      </c>
      <c r="L223" s="11"/>
    </row>
    <row r="224" customFormat="false" ht="22.35" hidden="false" customHeight="false" outlineLevel="0" collapsed="false">
      <c r="A224" s="11" t="n">
        <v>223</v>
      </c>
      <c r="B224" s="11" t="s">
        <v>495</v>
      </c>
      <c r="C224" s="11" t="s">
        <v>41</v>
      </c>
      <c r="D224" s="11" t="s">
        <v>398</v>
      </c>
      <c r="E224" s="11"/>
      <c r="F224" s="11" t="s">
        <v>406</v>
      </c>
      <c r="G224" s="11" t="s">
        <v>407</v>
      </c>
      <c r="H224" s="11" t="s">
        <v>189</v>
      </c>
      <c r="I224" s="11" t="s">
        <v>408</v>
      </c>
      <c r="J224" s="11" t="s">
        <v>47</v>
      </c>
      <c r="K224" s="11" t="s">
        <v>254</v>
      </c>
      <c r="L224" s="12" t="s">
        <v>409</v>
      </c>
    </row>
    <row r="225" customFormat="false" ht="22.35" hidden="false" customHeight="false" outlineLevel="0" collapsed="false">
      <c r="A225" s="11" t="n">
        <v>224</v>
      </c>
      <c r="B225" s="11" t="s">
        <v>495</v>
      </c>
      <c r="C225" s="11" t="s">
        <v>41</v>
      </c>
      <c r="D225" s="11" t="s">
        <v>398</v>
      </c>
      <c r="E225" s="11"/>
      <c r="F225" s="11" t="s">
        <v>281</v>
      </c>
      <c r="G225" s="11" t="s">
        <v>528</v>
      </c>
      <c r="H225" s="11" t="s">
        <v>170</v>
      </c>
      <c r="I225" s="11" t="s">
        <v>738</v>
      </c>
      <c r="J225" s="11" t="s">
        <v>529</v>
      </c>
      <c r="K225" s="11" t="s">
        <v>92</v>
      </c>
      <c r="L225" s="12" t="s">
        <v>285</v>
      </c>
    </row>
    <row r="226" customFormat="false" ht="22.35" hidden="false" customHeight="false" outlineLevel="0" collapsed="false">
      <c r="A226" s="11" t="n">
        <v>225</v>
      </c>
      <c r="B226" s="11" t="s">
        <v>495</v>
      </c>
      <c r="C226" s="11" t="s">
        <v>41</v>
      </c>
      <c r="D226" s="11" t="s">
        <v>398</v>
      </c>
      <c r="E226" s="11"/>
      <c r="F226" s="11"/>
      <c r="G226" s="11" t="s">
        <v>739</v>
      </c>
      <c r="H226" s="11" t="s">
        <v>308</v>
      </c>
      <c r="I226" s="11" t="s">
        <v>740</v>
      </c>
      <c r="J226" s="11" t="s">
        <v>47</v>
      </c>
      <c r="K226" s="11" t="s">
        <v>48</v>
      </c>
      <c r="L226" s="12" t="s">
        <v>741</v>
      </c>
    </row>
    <row r="227" customFormat="false" ht="22.35" hidden="false" customHeight="false" outlineLevel="0" collapsed="false">
      <c r="A227" s="11" t="n">
        <v>226</v>
      </c>
      <c r="B227" s="11" t="s">
        <v>495</v>
      </c>
      <c r="C227" s="11" t="s">
        <v>41</v>
      </c>
      <c r="D227" s="11" t="s">
        <v>398</v>
      </c>
      <c r="E227" s="11"/>
      <c r="F227" s="11" t="s">
        <v>168</v>
      </c>
      <c r="G227" s="11" t="s">
        <v>169</v>
      </c>
      <c r="H227" s="11" t="s">
        <v>170</v>
      </c>
      <c r="I227" s="11" t="s">
        <v>171</v>
      </c>
      <c r="J227" s="11" t="s">
        <v>172</v>
      </c>
      <c r="K227" s="11" t="s">
        <v>92</v>
      </c>
      <c r="L227" s="12" t="s">
        <v>173</v>
      </c>
    </row>
    <row r="228" customFormat="false" ht="32.8" hidden="false" customHeight="false" outlineLevel="0" collapsed="false">
      <c r="A228" s="11" t="n">
        <v>227</v>
      </c>
      <c r="B228" s="11" t="s">
        <v>495</v>
      </c>
      <c r="C228" s="11" t="s">
        <v>41</v>
      </c>
      <c r="D228" s="11" t="s">
        <v>398</v>
      </c>
      <c r="E228" s="11"/>
      <c r="F228" s="11" t="s">
        <v>334</v>
      </c>
      <c r="G228" s="11" t="s">
        <v>335</v>
      </c>
      <c r="H228" s="11" t="s">
        <v>308</v>
      </c>
      <c r="I228" s="11" t="s">
        <v>336</v>
      </c>
      <c r="J228" s="11" t="s">
        <v>337</v>
      </c>
      <c r="K228" s="11" t="s">
        <v>92</v>
      </c>
      <c r="L228" s="12" t="s">
        <v>338</v>
      </c>
    </row>
    <row r="229" customFormat="false" ht="32.8" hidden="false" customHeight="false" outlineLevel="0" collapsed="false">
      <c r="A229" s="11" t="n">
        <v>228</v>
      </c>
      <c r="B229" s="11" t="s">
        <v>495</v>
      </c>
      <c r="C229" s="11" t="s">
        <v>41</v>
      </c>
      <c r="D229" s="11" t="s">
        <v>398</v>
      </c>
      <c r="E229" s="11"/>
      <c r="F229" s="11"/>
      <c r="G229" s="11" t="s">
        <v>742</v>
      </c>
      <c r="H229" s="11" t="s">
        <v>77</v>
      </c>
      <c r="I229" s="11" t="s">
        <v>743</v>
      </c>
      <c r="J229" s="11" t="s">
        <v>47</v>
      </c>
      <c r="K229" s="11" t="s">
        <v>48</v>
      </c>
      <c r="L229" s="12" t="s">
        <v>744</v>
      </c>
    </row>
    <row r="230" customFormat="false" ht="22.35" hidden="false" customHeight="false" outlineLevel="0" collapsed="false">
      <c r="A230" s="11" t="n">
        <v>229</v>
      </c>
      <c r="B230" s="11" t="s">
        <v>495</v>
      </c>
      <c r="C230" s="11" t="s">
        <v>41</v>
      </c>
      <c r="D230" s="11" t="s">
        <v>398</v>
      </c>
      <c r="E230" s="11"/>
      <c r="F230" s="11"/>
      <c r="G230" s="11" t="s">
        <v>745</v>
      </c>
      <c r="H230" s="11" t="s">
        <v>515</v>
      </c>
      <c r="I230" s="11" t="s">
        <v>746</v>
      </c>
      <c r="J230" s="11" t="s">
        <v>415</v>
      </c>
      <c r="K230" s="11" t="s">
        <v>747</v>
      </c>
      <c r="L230" s="11"/>
    </row>
    <row r="231" customFormat="false" ht="22.35" hidden="false" customHeight="false" outlineLevel="0" collapsed="false">
      <c r="A231" s="11" t="n">
        <v>230</v>
      </c>
      <c r="B231" s="11" t="s">
        <v>495</v>
      </c>
      <c r="C231" s="11" t="s">
        <v>41</v>
      </c>
      <c r="D231" s="11" t="s">
        <v>398</v>
      </c>
      <c r="E231" s="11"/>
      <c r="F231" s="11"/>
      <c r="G231" s="11" t="s">
        <v>652</v>
      </c>
      <c r="H231" s="11" t="s">
        <v>198</v>
      </c>
      <c r="I231" s="11" t="s">
        <v>748</v>
      </c>
      <c r="J231" s="11" t="s">
        <v>655</v>
      </c>
      <c r="K231" s="11" t="s">
        <v>656</v>
      </c>
      <c r="L231" s="11"/>
    </row>
    <row r="232" customFormat="false" ht="22.35" hidden="false" customHeight="false" outlineLevel="0" collapsed="false">
      <c r="A232" s="11" t="n">
        <v>231</v>
      </c>
      <c r="B232" s="11" t="s">
        <v>495</v>
      </c>
      <c r="C232" s="11" t="s">
        <v>41</v>
      </c>
      <c r="D232" s="11" t="s">
        <v>398</v>
      </c>
      <c r="E232" s="11"/>
      <c r="F232" s="11"/>
      <c r="G232" s="11" t="s">
        <v>652</v>
      </c>
      <c r="H232" s="11" t="s">
        <v>84</v>
      </c>
      <c r="I232" s="11" t="s">
        <v>749</v>
      </c>
      <c r="J232" s="11" t="s">
        <v>655</v>
      </c>
      <c r="K232" s="11" t="s">
        <v>656</v>
      </c>
      <c r="L232" s="11"/>
    </row>
    <row r="233" customFormat="false" ht="22.35" hidden="false" customHeight="false" outlineLevel="0" collapsed="false">
      <c r="A233" s="11" t="n">
        <v>232</v>
      </c>
      <c r="B233" s="11" t="s">
        <v>495</v>
      </c>
      <c r="C233" s="11" t="s">
        <v>41</v>
      </c>
      <c r="D233" s="11" t="s">
        <v>398</v>
      </c>
      <c r="E233" s="11"/>
      <c r="F233" s="11"/>
      <c r="G233" s="11" t="s">
        <v>750</v>
      </c>
      <c r="H233" s="11" t="s">
        <v>515</v>
      </c>
      <c r="I233" s="11" t="s">
        <v>751</v>
      </c>
      <c r="J233" s="11"/>
      <c r="K233" s="11" t="s">
        <v>752</v>
      </c>
      <c r="L233" s="11"/>
    </row>
    <row r="234" customFormat="false" ht="22.35" hidden="false" customHeight="false" outlineLevel="0" collapsed="false">
      <c r="A234" s="11" t="n">
        <v>233</v>
      </c>
      <c r="B234" s="11" t="s">
        <v>495</v>
      </c>
      <c r="C234" s="11" t="s">
        <v>41</v>
      </c>
      <c r="D234" s="11" t="s">
        <v>398</v>
      </c>
      <c r="E234" s="11"/>
      <c r="F234" s="11"/>
      <c r="G234" s="11" t="s">
        <v>753</v>
      </c>
      <c r="H234" s="11" t="s">
        <v>515</v>
      </c>
      <c r="I234" s="11" t="s">
        <v>754</v>
      </c>
      <c r="J234" s="11" t="s">
        <v>755</v>
      </c>
      <c r="K234" s="11" t="s">
        <v>747</v>
      </c>
      <c r="L234" s="11"/>
    </row>
    <row r="235" customFormat="false" ht="22.35" hidden="false" customHeight="false" outlineLevel="0" collapsed="false">
      <c r="A235" s="11" t="n">
        <v>234</v>
      </c>
      <c r="B235" s="11" t="s">
        <v>495</v>
      </c>
      <c r="C235" s="11" t="s">
        <v>41</v>
      </c>
      <c r="D235" s="11" t="s">
        <v>398</v>
      </c>
      <c r="E235" s="11"/>
      <c r="F235" s="11"/>
      <c r="G235" s="11" t="s">
        <v>756</v>
      </c>
      <c r="H235" s="11" t="s">
        <v>515</v>
      </c>
      <c r="I235" s="11" t="s">
        <v>757</v>
      </c>
      <c r="J235" s="11" t="s">
        <v>755</v>
      </c>
      <c r="K235" s="11" t="s">
        <v>747</v>
      </c>
      <c r="L235" s="11"/>
    </row>
    <row r="236" customFormat="false" ht="22.35" hidden="false" customHeight="false" outlineLevel="0" collapsed="false">
      <c r="A236" s="11" t="n">
        <v>235</v>
      </c>
      <c r="B236" s="11" t="s">
        <v>495</v>
      </c>
      <c r="C236" s="11" t="s">
        <v>41</v>
      </c>
      <c r="D236" s="11" t="s">
        <v>398</v>
      </c>
      <c r="E236" s="11"/>
      <c r="F236" s="11"/>
      <c r="G236" s="11" t="s">
        <v>753</v>
      </c>
      <c r="H236" s="11" t="s">
        <v>515</v>
      </c>
      <c r="I236" s="11" t="s">
        <v>758</v>
      </c>
      <c r="J236" s="11" t="s">
        <v>755</v>
      </c>
      <c r="K236" s="11" t="s">
        <v>747</v>
      </c>
      <c r="L236" s="11"/>
    </row>
    <row r="237" customFormat="false" ht="22.35" hidden="false" customHeight="false" outlineLevel="0" collapsed="false">
      <c r="A237" s="11" t="n">
        <v>236</v>
      </c>
      <c r="B237" s="11" t="s">
        <v>495</v>
      </c>
      <c r="C237" s="11" t="s">
        <v>41</v>
      </c>
      <c r="D237" s="11" t="s">
        <v>398</v>
      </c>
      <c r="E237" s="11"/>
      <c r="F237" s="11"/>
      <c r="G237" s="11" t="s">
        <v>594</v>
      </c>
      <c r="H237" s="11" t="s">
        <v>135</v>
      </c>
      <c r="I237" s="11" t="s">
        <v>759</v>
      </c>
      <c r="J237" s="11" t="s">
        <v>596</v>
      </c>
      <c r="K237" s="11" t="s">
        <v>760</v>
      </c>
      <c r="L237" s="11"/>
    </row>
    <row r="238" customFormat="false" ht="22.35" hidden="false" customHeight="false" outlineLevel="0" collapsed="false">
      <c r="A238" s="11" t="n">
        <v>237</v>
      </c>
      <c r="B238" s="11" t="s">
        <v>495</v>
      </c>
      <c r="C238" s="11" t="s">
        <v>41</v>
      </c>
      <c r="D238" s="11" t="s">
        <v>398</v>
      </c>
      <c r="E238" s="11"/>
      <c r="F238" s="11"/>
      <c r="G238" s="11" t="s">
        <v>761</v>
      </c>
      <c r="H238" s="11" t="s">
        <v>198</v>
      </c>
      <c r="I238" s="11" t="s">
        <v>762</v>
      </c>
      <c r="J238" s="11" t="s">
        <v>763</v>
      </c>
      <c r="K238" s="11" t="s">
        <v>48</v>
      </c>
      <c r="L238" s="12" t="s">
        <v>764</v>
      </c>
    </row>
    <row r="239" customFormat="false" ht="22.35" hidden="false" customHeight="false" outlineLevel="0" collapsed="false">
      <c r="A239" s="11" t="n">
        <v>238</v>
      </c>
      <c r="B239" s="11" t="s">
        <v>495</v>
      </c>
      <c r="C239" s="11" t="s">
        <v>41</v>
      </c>
      <c r="D239" s="11" t="s">
        <v>398</v>
      </c>
      <c r="E239" s="11"/>
      <c r="F239" s="11"/>
      <c r="G239" s="11" t="s">
        <v>765</v>
      </c>
      <c r="H239" s="11" t="s">
        <v>45</v>
      </c>
      <c r="I239" s="11" t="s">
        <v>766</v>
      </c>
      <c r="J239" s="11" t="s">
        <v>767</v>
      </c>
      <c r="K239" s="11" t="s">
        <v>768</v>
      </c>
      <c r="L239" s="11"/>
    </row>
    <row r="240" customFormat="false" ht="32.8" hidden="false" customHeight="false" outlineLevel="0" collapsed="false">
      <c r="A240" s="11" t="n">
        <v>239</v>
      </c>
      <c r="B240" s="11" t="s">
        <v>495</v>
      </c>
      <c r="C240" s="11" t="s">
        <v>41</v>
      </c>
      <c r="D240" s="11" t="s">
        <v>398</v>
      </c>
      <c r="E240" s="11"/>
      <c r="F240" s="11" t="s">
        <v>209</v>
      </c>
      <c r="G240" s="11" t="s">
        <v>210</v>
      </c>
      <c r="H240" s="11" t="s">
        <v>84</v>
      </c>
      <c r="I240" s="11" t="s">
        <v>211</v>
      </c>
      <c r="J240" s="11" t="s">
        <v>212</v>
      </c>
      <c r="K240" s="11" t="s">
        <v>92</v>
      </c>
      <c r="L240" s="12" t="s">
        <v>213</v>
      </c>
    </row>
    <row r="241" customFormat="false" ht="22.35" hidden="false" customHeight="false" outlineLevel="0" collapsed="false">
      <c r="A241" s="11" t="n">
        <v>240</v>
      </c>
      <c r="B241" s="11" t="s">
        <v>495</v>
      </c>
      <c r="C241" s="11" t="s">
        <v>41</v>
      </c>
      <c r="D241" s="11" t="s">
        <v>398</v>
      </c>
      <c r="E241" s="11"/>
      <c r="F241" s="11" t="s">
        <v>346</v>
      </c>
      <c r="G241" s="11" t="s">
        <v>347</v>
      </c>
      <c r="H241" s="11" t="s">
        <v>170</v>
      </c>
      <c r="I241" s="11" t="s">
        <v>348</v>
      </c>
      <c r="J241" s="11" t="s">
        <v>349</v>
      </c>
      <c r="K241" s="11" t="s">
        <v>92</v>
      </c>
      <c r="L241" s="12" t="s">
        <v>350</v>
      </c>
    </row>
    <row r="242" customFormat="false" ht="22.35" hidden="false" customHeight="false" outlineLevel="0" collapsed="false">
      <c r="A242" s="11" t="n">
        <v>241</v>
      </c>
      <c r="B242" s="11" t="s">
        <v>495</v>
      </c>
      <c r="C242" s="11" t="s">
        <v>41</v>
      </c>
      <c r="D242" s="11" t="s">
        <v>398</v>
      </c>
      <c r="E242" s="11"/>
      <c r="F242" s="11" t="s">
        <v>351</v>
      </c>
      <c r="G242" s="11" t="s">
        <v>352</v>
      </c>
      <c r="H242" s="11" t="s">
        <v>308</v>
      </c>
      <c r="I242" s="11" t="s">
        <v>353</v>
      </c>
      <c r="J242" s="11" t="s">
        <v>354</v>
      </c>
      <c r="K242" s="11" t="s">
        <v>48</v>
      </c>
      <c r="L242" s="12" t="s">
        <v>355</v>
      </c>
    </row>
    <row r="243" customFormat="false" ht="22.35" hidden="false" customHeight="false" outlineLevel="0" collapsed="false">
      <c r="A243" s="11" t="n">
        <v>242</v>
      </c>
      <c r="B243" s="11" t="s">
        <v>495</v>
      </c>
      <c r="C243" s="11" t="s">
        <v>41</v>
      </c>
      <c r="D243" s="11" t="s">
        <v>398</v>
      </c>
      <c r="E243" s="11"/>
      <c r="F243" s="11" t="s">
        <v>356</v>
      </c>
      <c r="G243" s="11" t="s">
        <v>307</v>
      </c>
      <c r="H243" s="11" t="s">
        <v>152</v>
      </c>
      <c r="I243" s="11" t="s">
        <v>357</v>
      </c>
      <c r="J243" s="11" t="s">
        <v>358</v>
      </c>
      <c r="K243" s="11" t="s">
        <v>92</v>
      </c>
      <c r="L243" s="12" t="s">
        <v>359</v>
      </c>
    </row>
    <row r="244" customFormat="false" ht="22.35" hidden="false" customHeight="false" outlineLevel="0" collapsed="false">
      <c r="A244" s="11" t="n">
        <v>243</v>
      </c>
      <c r="B244" s="11" t="s">
        <v>495</v>
      </c>
      <c r="C244" s="11" t="s">
        <v>41</v>
      </c>
      <c r="D244" s="11" t="s">
        <v>398</v>
      </c>
      <c r="E244" s="11"/>
      <c r="F244" s="11" t="s">
        <v>356</v>
      </c>
      <c r="G244" s="11" t="s">
        <v>307</v>
      </c>
      <c r="H244" s="11" t="s">
        <v>152</v>
      </c>
      <c r="I244" s="11" t="s">
        <v>769</v>
      </c>
      <c r="J244" s="11" t="s">
        <v>358</v>
      </c>
      <c r="K244" s="11" t="s">
        <v>92</v>
      </c>
      <c r="L244" s="12" t="s">
        <v>359</v>
      </c>
    </row>
    <row r="245" customFormat="false" ht="22.35" hidden="false" customHeight="false" outlineLevel="0" collapsed="false">
      <c r="A245" s="11" t="n">
        <v>244</v>
      </c>
      <c r="B245" s="11" t="s">
        <v>495</v>
      </c>
      <c r="C245" s="11" t="s">
        <v>41</v>
      </c>
      <c r="D245" s="11" t="s">
        <v>398</v>
      </c>
      <c r="E245" s="11"/>
      <c r="F245" s="11"/>
      <c r="G245" s="11" t="s">
        <v>770</v>
      </c>
      <c r="H245" s="11" t="s">
        <v>198</v>
      </c>
      <c r="I245" s="11" t="s">
        <v>771</v>
      </c>
      <c r="J245" s="11" t="s">
        <v>321</v>
      </c>
      <c r="K245" s="11" t="s">
        <v>48</v>
      </c>
      <c r="L245" s="12" t="s">
        <v>772</v>
      </c>
    </row>
    <row r="246" customFormat="false" ht="22.35" hidden="false" customHeight="false" outlineLevel="0" collapsed="false">
      <c r="A246" s="11" t="n">
        <v>245</v>
      </c>
      <c r="B246" s="11" t="s">
        <v>495</v>
      </c>
      <c r="C246" s="11" t="s">
        <v>41</v>
      </c>
      <c r="D246" s="11" t="s">
        <v>398</v>
      </c>
      <c r="E246" s="11"/>
      <c r="F246" s="11"/>
      <c r="G246" s="11" t="s">
        <v>444</v>
      </c>
      <c r="H246" s="11" t="s">
        <v>135</v>
      </c>
      <c r="I246" s="11" t="s">
        <v>773</v>
      </c>
      <c r="J246" s="11" t="s">
        <v>774</v>
      </c>
      <c r="K246" s="11" t="s">
        <v>451</v>
      </c>
      <c r="L246" s="12" t="s">
        <v>775</v>
      </c>
    </row>
    <row r="247" customFormat="false" ht="22.35" hidden="false" customHeight="false" outlineLevel="0" collapsed="false">
      <c r="A247" s="11" t="n">
        <v>246</v>
      </c>
      <c r="B247" s="11" t="s">
        <v>495</v>
      </c>
      <c r="C247" s="11" t="s">
        <v>41</v>
      </c>
      <c r="D247" s="11" t="s">
        <v>398</v>
      </c>
      <c r="E247" s="11"/>
      <c r="F247" s="11"/>
      <c r="G247" s="11" t="s">
        <v>776</v>
      </c>
      <c r="H247" s="11" t="s">
        <v>45</v>
      </c>
      <c r="I247" s="11" t="s">
        <v>777</v>
      </c>
      <c r="J247" s="11" t="s">
        <v>444</v>
      </c>
      <c r="K247" s="11" t="s">
        <v>778</v>
      </c>
      <c r="L247" s="12" t="s">
        <v>779</v>
      </c>
    </row>
    <row r="248" customFormat="false" ht="22.35" hidden="false" customHeight="false" outlineLevel="0" collapsed="false">
      <c r="A248" s="11" t="n">
        <v>247</v>
      </c>
      <c r="B248" s="11" t="s">
        <v>495</v>
      </c>
      <c r="C248" s="11" t="s">
        <v>41</v>
      </c>
      <c r="D248" s="11" t="s">
        <v>398</v>
      </c>
      <c r="E248" s="11"/>
      <c r="F248" s="11"/>
      <c r="G248" s="11" t="s">
        <v>780</v>
      </c>
      <c r="H248" s="11" t="s">
        <v>77</v>
      </c>
      <c r="I248" s="11" t="s">
        <v>781</v>
      </c>
      <c r="J248" s="11" t="s">
        <v>444</v>
      </c>
      <c r="K248" s="11" t="s">
        <v>778</v>
      </c>
      <c r="L248" s="12" t="s">
        <v>782</v>
      </c>
    </row>
    <row r="249" customFormat="false" ht="22.35" hidden="false" customHeight="false" outlineLevel="0" collapsed="false">
      <c r="A249" s="11" t="n">
        <v>248</v>
      </c>
      <c r="B249" s="11" t="s">
        <v>495</v>
      </c>
      <c r="C249" s="11" t="s">
        <v>41</v>
      </c>
      <c r="D249" s="11" t="s">
        <v>398</v>
      </c>
      <c r="E249" s="11"/>
      <c r="F249" s="11"/>
      <c r="G249" s="11" t="s">
        <v>783</v>
      </c>
      <c r="H249" s="11" t="s">
        <v>325</v>
      </c>
      <c r="I249" s="11" t="s">
        <v>784</v>
      </c>
      <c r="J249" s="11" t="s">
        <v>444</v>
      </c>
      <c r="K249" s="11" t="s">
        <v>451</v>
      </c>
      <c r="L249" s="11"/>
    </row>
    <row r="250" customFormat="false" ht="22.35" hidden="false" customHeight="false" outlineLevel="0" collapsed="false">
      <c r="A250" s="11" t="n">
        <v>249</v>
      </c>
      <c r="B250" s="11" t="s">
        <v>495</v>
      </c>
      <c r="C250" s="11" t="s">
        <v>41</v>
      </c>
      <c r="D250" s="11" t="s">
        <v>398</v>
      </c>
      <c r="E250" s="11"/>
      <c r="F250" s="11"/>
      <c r="G250" s="11" t="s">
        <v>785</v>
      </c>
      <c r="H250" s="11" t="s">
        <v>135</v>
      </c>
      <c r="I250" s="11" t="s">
        <v>786</v>
      </c>
      <c r="J250" s="11" t="s">
        <v>567</v>
      </c>
      <c r="K250" s="11" t="s">
        <v>48</v>
      </c>
      <c r="L250" s="12" t="s">
        <v>787</v>
      </c>
    </row>
    <row r="251" customFormat="false" ht="22.35" hidden="false" customHeight="false" outlineLevel="0" collapsed="false">
      <c r="A251" s="11" t="n">
        <v>250</v>
      </c>
      <c r="B251" s="11" t="s">
        <v>495</v>
      </c>
      <c r="C251" s="11" t="s">
        <v>41</v>
      </c>
      <c r="D251" s="11" t="s">
        <v>398</v>
      </c>
      <c r="E251" s="11"/>
      <c r="F251" s="11"/>
      <c r="G251" s="11" t="s">
        <v>788</v>
      </c>
      <c r="H251" s="11" t="s">
        <v>135</v>
      </c>
      <c r="I251" s="11" t="s">
        <v>789</v>
      </c>
      <c r="J251" s="11" t="s">
        <v>47</v>
      </c>
      <c r="K251" s="11" t="s">
        <v>48</v>
      </c>
      <c r="L251" s="12" t="s">
        <v>790</v>
      </c>
    </row>
    <row r="252" customFormat="false" ht="22.35" hidden="false" customHeight="false" outlineLevel="0" collapsed="false">
      <c r="A252" s="11" t="n">
        <v>251</v>
      </c>
      <c r="B252" s="11" t="s">
        <v>495</v>
      </c>
      <c r="C252" s="11" t="s">
        <v>41</v>
      </c>
      <c r="D252" s="11" t="s">
        <v>398</v>
      </c>
      <c r="E252" s="11"/>
      <c r="F252" s="11"/>
      <c r="G252" s="11" t="s">
        <v>791</v>
      </c>
      <c r="H252" s="11" t="s">
        <v>60</v>
      </c>
      <c r="I252" s="11" t="s">
        <v>792</v>
      </c>
      <c r="J252" s="11" t="s">
        <v>791</v>
      </c>
      <c r="K252" s="11" t="s">
        <v>793</v>
      </c>
      <c r="L252" s="11"/>
    </row>
    <row r="253" customFormat="false" ht="64.15" hidden="false" customHeight="false" outlineLevel="0" collapsed="false">
      <c r="A253" s="11" t="n">
        <v>252</v>
      </c>
      <c r="B253" s="11" t="s">
        <v>495</v>
      </c>
      <c r="C253" s="11" t="s">
        <v>41</v>
      </c>
      <c r="D253" s="11" t="s">
        <v>398</v>
      </c>
      <c r="E253" s="11"/>
      <c r="F253" s="11"/>
      <c r="G253" s="11" t="s">
        <v>794</v>
      </c>
      <c r="H253" s="11" t="s">
        <v>198</v>
      </c>
      <c r="I253" s="11" t="s">
        <v>795</v>
      </c>
      <c r="J253" s="11" t="s">
        <v>796</v>
      </c>
      <c r="K253" s="11" t="s">
        <v>92</v>
      </c>
      <c r="L253" s="12" t="s">
        <v>797</v>
      </c>
    </row>
    <row r="254" customFormat="false" ht="22.35" hidden="false" customHeight="false" outlineLevel="0" collapsed="false">
      <c r="A254" s="11" t="n">
        <v>253</v>
      </c>
      <c r="B254" s="11" t="s">
        <v>495</v>
      </c>
      <c r="C254" s="11" t="s">
        <v>41</v>
      </c>
      <c r="D254" s="11" t="s">
        <v>398</v>
      </c>
      <c r="E254" s="11"/>
      <c r="F254" s="11"/>
      <c r="G254" s="11" t="s">
        <v>798</v>
      </c>
      <c r="H254" s="11" t="s">
        <v>135</v>
      </c>
      <c r="I254" s="11" t="s">
        <v>799</v>
      </c>
      <c r="J254" s="11" t="s">
        <v>800</v>
      </c>
      <c r="K254" s="11" t="s">
        <v>48</v>
      </c>
      <c r="L254" s="11"/>
    </row>
    <row r="255" customFormat="false" ht="22.35" hidden="false" customHeight="false" outlineLevel="0" collapsed="false">
      <c r="A255" s="11" t="n">
        <v>254</v>
      </c>
      <c r="B255" s="11" t="s">
        <v>495</v>
      </c>
      <c r="C255" s="11" t="s">
        <v>41</v>
      </c>
      <c r="D255" s="11" t="s">
        <v>398</v>
      </c>
      <c r="E255" s="11"/>
      <c r="F255" s="11"/>
      <c r="G255" s="11" t="s">
        <v>801</v>
      </c>
      <c r="H255" s="11" t="s">
        <v>107</v>
      </c>
      <c r="I255" s="11" t="s">
        <v>802</v>
      </c>
      <c r="J255" s="11" t="s">
        <v>47</v>
      </c>
      <c r="K255" s="11" t="s">
        <v>48</v>
      </c>
      <c r="L255" s="12" t="s">
        <v>803</v>
      </c>
    </row>
    <row r="256" customFormat="false" ht="22.35" hidden="false" customHeight="false" outlineLevel="0" collapsed="false">
      <c r="A256" s="11" t="n">
        <v>255</v>
      </c>
      <c r="B256" s="11" t="s">
        <v>495</v>
      </c>
      <c r="C256" s="11" t="s">
        <v>41</v>
      </c>
      <c r="D256" s="11" t="s">
        <v>398</v>
      </c>
      <c r="E256" s="11"/>
      <c r="F256" s="11"/>
      <c r="G256" s="11" t="s">
        <v>804</v>
      </c>
      <c r="H256" s="11" t="s">
        <v>152</v>
      </c>
      <c r="I256" s="11" t="s">
        <v>805</v>
      </c>
      <c r="J256" s="11" t="s">
        <v>806</v>
      </c>
      <c r="K256" s="11" t="s">
        <v>48</v>
      </c>
      <c r="L256" s="12" t="s">
        <v>807</v>
      </c>
    </row>
    <row r="257" customFormat="false" ht="22.35" hidden="false" customHeight="false" outlineLevel="0" collapsed="false">
      <c r="A257" s="11" t="n">
        <v>256</v>
      </c>
      <c r="B257" s="11" t="s">
        <v>495</v>
      </c>
      <c r="C257" s="11" t="s">
        <v>41</v>
      </c>
      <c r="D257" s="11" t="s">
        <v>398</v>
      </c>
      <c r="E257" s="11"/>
      <c r="F257" s="11"/>
      <c r="G257" s="11" t="s">
        <v>719</v>
      </c>
      <c r="H257" s="11" t="s">
        <v>176</v>
      </c>
      <c r="I257" s="11" t="s">
        <v>808</v>
      </c>
      <c r="J257" s="11" t="s">
        <v>734</v>
      </c>
      <c r="K257" s="11" t="s">
        <v>656</v>
      </c>
      <c r="L257" s="11"/>
    </row>
    <row r="258" customFormat="false" ht="22.35" hidden="false" customHeight="false" outlineLevel="0" collapsed="false">
      <c r="A258" s="11" t="n">
        <v>257</v>
      </c>
      <c r="B258" s="11" t="s">
        <v>495</v>
      </c>
      <c r="C258" s="11" t="s">
        <v>41</v>
      </c>
      <c r="D258" s="11" t="s">
        <v>398</v>
      </c>
      <c r="E258" s="11"/>
      <c r="F258" s="11"/>
      <c r="G258" s="11" t="s">
        <v>809</v>
      </c>
      <c r="H258" s="11" t="s">
        <v>515</v>
      </c>
      <c r="I258" s="11" t="s">
        <v>810</v>
      </c>
      <c r="J258" s="11" t="s">
        <v>811</v>
      </c>
      <c r="K258" s="11" t="s">
        <v>48</v>
      </c>
      <c r="L258" s="11"/>
    </row>
    <row r="259" customFormat="false" ht="22.35" hidden="false" customHeight="false" outlineLevel="0" collapsed="false">
      <c r="A259" s="11" t="n">
        <v>258</v>
      </c>
      <c r="B259" s="11" t="s">
        <v>495</v>
      </c>
      <c r="C259" s="11" t="s">
        <v>41</v>
      </c>
      <c r="D259" s="11" t="s">
        <v>398</v>
      </c>
      <c r="E259" s="11"/>
      <c r="F259" s="11"/>
      <c r="G259" s="11" t="s">
        <v>812</v>
      </c>
      <c r="H259" s="11" t="s">
        <v>107</v>
      </c>
      <c r="I259" s="11" t="s">
        <v>813</v>
      </c>
      <c r="J259" s="11" t="s">
        <v>47</v>
      </c>
      <c r="K259" s="11" t="s">
        <v>48</v>
      </c>
      <c r="L259" s="12" t="s">
        <v>814</v>
      </c>
    </row>
    <row r="260" customFormat="false" ht="22.35" hidden="false" customHeight="false" outlineLevel="0" collapsed="false">
      <c r="A260" s="11" t="n">
        <v>259</v>
      </c>
      <c r="B260" s="11" t="s">
        <v>495</v>
      </c>
      <c r="C260" s="11" t="s">
        <v>41</v>
      </c>
      <c r="D260" s="11" t="s">
        <v>398</v>
      </c>
      <c r="E260" s="11"/>
      <c r="F260" s="11"/>
      <c r="G260" s="11" t="s">
        <v>719</v>
      </c>
      <c r="H260" s="11" t="s">
        <v>176</v>
      </c>
      <c r="I260" s="11" t="s">
        <v>815</v>
      </c>
      <c r="J260" s="11" t="s">
        <v>816</v>
      </c>
      <c r="K260" s="11" t="s">
        <v>656</v>
      </c>
      <c r="L260" s="11"/>
    </row>
    <row r="261" customFormat="false" ht="22.35" hidden="false" customHeight="false" outlineLevel="0" collapsed="false">
      <c r="A261" s="11" t="n">
        <v>260</v>
      </c>
      <c r="B261" s="11" t="s">
        <v>495</v>
      </c>
      <c r="C261" s="11" t="s">
        <v>41</v>
      </c>
      <c r="D261" s="11" t="s">
        <v>398</v>
      </c>
      <c r="E261" s="11"/>
      <c r="F261" s="11"/>
      <c r="G261" s="11" t="s">
        <v>817</v>
      </c>
      <c r="H261" s="11" t="s">
        <v>84</v>
      </c>
      <c r="I261" s="11" t="s">
        <v>818</v>
      </c>
      <c r="J261" s="11" t="s">
        <v>819</v>
      </c>
      <c r="K261" s="11" t="s">
        <v>48</v>
      </c>
      <c r="L261" s="11"/>
    </row>
    <row r="262" customFormat="false" ht="22.35" hidden="false" customHeight="false" outlineLevel="0" collapsed="false">
      <c r="A262" s="11" t="n">
        <v>261</v>
      </c>
      <c r="B262" s="11" t="s">
        <v>495</v>
      </c>
      <c r="C262" s="11" t="s">
        <v>41</v>
      </c>
      <c r="D262" s="11" t="s">
        <v>398</v>
      </c>
      <c r="E262" s="11"/>
      <c r="F262" s="11"/>
      <c r="G262" s="11" t="s">
        <v>750</v>
      </c>
      <c r="H262" s="11" t="s">
        <v>515</v>
      </c>
      <c r="I262" s="11" t="s">
        <v>751</v>
      </c>
      <c r="J262" s="11"/>
      <c r="K262" s="11" t="s">
        <v>752</v>
      </c>
      <c r="L262" s="11"/>
    </row>
    <row r="263" customFormat="false" ht="22.35" hidden="false" customHeight="false" outlineLevel="0" collapsed="false">
      <c r="A263" s="11" t="n">
        <v>262</v>
      </c>
      <c r="B263" s="11" t="s">
        <v>495</v>
      </c>
      <c r="C263" s="11" t="s">
        <v>41</v>
      </c>
      <c r="D263" s="11" t="s">
        <v>398</v>
      </c>
      <c r="E263" s="11"/>
      <c r="F263" s="11"/>
      <c r="G263" s="11" t="s">
        <v>750</v>
      </c>
      <c r="H263" s="11" t="s">
        <v>515</v>
      </c>
      <c r="I263" s="11" t="s">
        <v>751</v>
      </c>
      <c r="J263" s="11"/>
      <c r="K263" s="11" t="s">
        <v>752</v>
      </c>
      <c r="L263" s="11"/>
    </row>
    <row r="264" customFormat="false" ht="22.35" hidden="false" customHeight="false" outlineLevel="0" collapsed="false">
      <c r="A264" s="11" t="n">
        <v>263</v>
      </c>
      <c r="B264" s="11" t="s">
        <v>495</v>
      </c>
      <c r="C264" s="11" t="s">
        <v>41</v>
      </c>
      <c r="D264" s="11" t="s">
        <v>398</v>
      </c>
      <c r="E264" s="11"/>
      <c r="F264" s="11"/>
      <c r="G264" s="11" t="s">
        <v>594</v>
      </c>
      <c r="H264" s="11" t="s">
        <v>189</v>
      </c>
      <c r="I264" s="11" t="s">
        <v>820</v>
      </c>
      <c r="J264" s="11" t="s">
        <v>596</v>
      </c>
      <c r="K264" s="11" t="s">
        <v>760</v>
      </c>
      <c r="L264" s="11"/>
    </row>
    <row r="265" customFormat="false" ht="24.6" hidden="false" customHeight="false" outlineLevel="0" collapsed="false">
      <c r="A265" s="11" t="n">
        <v>264</v>
      </c>
      <c r="B265" s="11" t="s">
        <v>495</v>
      </c>
      <c r="C265" s="11" t="s">
        <v>41</v>
      </c>
      <c r="D265" s="11" t="s">
        <v>398</v>
      </c>
      <c r="E265" s="11"/>
      <c r="F265" s="11" t="s">
        <v>220</v>
      </c>
      <c r="G265" s="11" t="s">
        <v>821</v>
      </c>
      <c r="H265" s="11" t="s">
        <v>170</v>
      </c>
      <c r="I265" s="13" t="s">
        <v>222</v>
      </c>
      <c r="J265" s="11" t="s">
        <v>822</v>
      </c>
      <c r="K265" s="11" t="s">
        <v>48</v>
      </c>
      <c r="L265" s="11"/>
    </row>
    <row r="266" customFormat="false" ht="22.35" hidden="false" customHeight="false" outlineLevel="0" collapsed="false">
      <c r="A266" s="11" t="n">
        <v>265</v>
      </c>
      <c r="B266" s="11" t="s">
        <v>495</v>
      </c>
      <c r="C266" s="11" t="s">
        <v>41</v>
      </c>
      <c r="D266" s="11" t="s">
        <v>398</v>
      </c>
      <c r="E266" s="11"/>
      <c r="F266" s="11"/>
      <c r="G266" s="11" t="s">
        <v>823</v>
      </c>
      <c r="H266" s="11" t="s">
        <v>308</v>
      </c>
      <c r="I266" s="11" t="s">
        <v>824</v>
      </c>
      <c r="J266" s="11" t="s">
        <v>825</v>
      </c>
      <c r="K266" s="11" t="s">
        <v>656</v>
      </c>
      <c r="L266" s="11"/>
    </row>
    <row r="267" customFormat="false" ht="22.35" hidden="false" customHeight="false" outlineLevel="0" collapsed="false">
      <c r="A267" s="11" t="n">
        <v>266</v>
      </c>
      <c r="B267" s="11" t="s">
        <v>495</v>
      </c>
      <c r="C267" s="11" t="s">
        <v>41</v>
      </c>
      <c r="D267" s="11" t="s">
        <v>398</v>
      </c>
      <c r="E267" s="11"/>
      <c r="F267" s="11"/>
      <c r="G267" s="11" t="s">
        <v>826</v>
      </c>
      <c r="H267" s="11" t="s">
        <v>176</v>
      </c>
      <c r="I267" s="11" t="s">
        <v>827</v>
      </c>
      <c r="J267" s="11" t="s">
        <v>828</v>
      </c>
      <c r="K267" s="11" t="s">
        <v>768</v>
      </c>
      <c r="L267" s="11"/>
    </row>
    <row r="268" customFormat="false" ht="22.35" hidden="false" customHeight="false" outlineLevel="0" collapsed="false">
      <c r="A268" s="11" t="n">
        <v>267</v>
      </c>
      <c r="B268" s="11" t="s">
        <v>495</v>
      </c>
      <c r="C268" s="11" t="s">
        <v>41</v>
      </c>
      <c r="D268" s="11" t="s">
        <v>398</v>
      </c>
      <c r="E268" s="11"/>
      <c r="F268" s="11"/>
      <c r="G268" s="11" t="s">
        <v>829</v>
      </c>
      <c r="H268" s="11" t="s">
        <v>45</v>
      </c>
      <c r="I268" s="11" t="s">
        <v>830</v>
      </c>
      <c r="J268" s="11" t="s">
        <v>831</v>
      </c>
      <c r="K268" s="11" t="s">
        <v>92</v>
      </c>
      <c r="L268" s="11"/>
    </row>
    <row r="269" customFormat="false" ht="22.35" hidden="false" customHeight="false" outlineLevel="0" collapsed="false">
      <c r="A269" s="11" t="n">
        <v>268</v>
      </c>
      <c r="B269" s="11" t="s">
        <v>495</v>
      </c>
      <c r="C269" s="11" t="s">
        <v>41</v>
      </c>
      <c r="D269" s="11" t="s">
        <v>398</v>
      </c>
      <c r="E269" s="11"/>
      <c r="F269" s="11"/>
      <c r="G269" s="11" t="s">
        <v>750</v>
      </c>
      <c r="H269" s="11" t="s">
        <v>45</v>
      </c>
      <c r="I269" s="11" t="s">
        <v>751</v>
      </c>
      <c r="J269" s="11"/>
      <c r="K269" s="11" t="s">
        <v>752</v>
      </c>
      <c r="L269" s="11"/>
    </row>
    <row r="270" customFormat="false" ht="22.35" hidden="false" customHeight="false" outlineLevel="0" collapsed="false">
      <c r="A270" s="11" t="n">
        <v>269</v>
      </c>
      <c r="B270" s="11" t="s">
        <v>495</v>
      </c>
      <c r="C270" s="11" t="s">
        <v>41</v>
      </c>
      <c r="D270" s="11" t="s">
        <v>398</v>
      </c>
      <c r="E270" s="11"/>
      <c r="F270" s="11"/>
      <c r="G270" s="11" t="s">
        <v>832</v>
      </c>
      <c r="H270" s="11" t="s">
        <v>77</v>
      </c>
      <c r="I270" s="11" t="s">
        <v>833</v>
      </c>
      <c r="J270" s="11" t="s">
        <v>834</v>
      </c>
      <c r="K270" s="11" t="s">
        <v>48</v>
      </c>
      <c r="L270" s="12" t="s">
        <v>835</v>
      </c>
    </row>
    <row r="271" customFormat="false" ht="22.35" hidden="false" customHeight="false" outlineLevel="0" collapsed="false">
      <c r="A271" s="11" t="n">
        <v>270</v>
      </c>
      <c r="B271" s="11" t="s">
        <v>495</v>
      </c>
      <c r="C271" s="11" t="s">
        <v>41</v>
      </c>
      <c r="D271" s="11" t="s">
        <v>398</v>
      </c>
      <c r="E271" s="11"/>
      <c r="F271" s="11"/>
      <c r="G271" s="11" t="s">
        <v>836</v>
      </c>
      <c r="H271" s="11" t="s">
        <v>152</v>
      </c>
      <c r="I271" s="11" t="s">
        <v>837</v>
      </c>
      <c r="J271" s="11" t="s">
        <v>838</v>
      </c>
      <c r="K271" s="11" t="s">
        <v>48</v>
      </c>
      <c r="L271" s="12" t="s">
        <v>839</v>
      </c>
    </row>
    <row r="272" customFormat="false" ht="22.35" hidden="false" customHeight="false" outlineLevel="0" collapsed="false">
      <c r="A272" s="11" t="n">
        <v>271</v>
      </c>
      <c r="B272" s="11" t="s">
        <v>495</v>
      </c>
      <c r="C272" s="11" t="s">
        <v>41</v>
      </c>
      <c r="D272" s="11" t="s">
        <v>398</v>
      </c>
      <c r="E272" s="11"/>
      <c r="F272" s="11"/>
      <c r="G272" s="11" t="s">
        <v>840</v>
      </c>
      <c r="H272" s="11" t="s">
        <v>152</v>
      </c>
      <c r="I272" s="11" t="s">
        <v>841</v>
      </c>
      <c r="J272" s="11" t="s">
        <v>842</v>
      </c>
      <c r="K272" s="11" t="s">
        <v>48</v>
      </c>
      <c r="L272" s="12" t="s">
        <v>843</v>
      </c>
    </row>
    <row r="273" customFormat="false" ht="22.35" hidden="false" customHeight="false" outlineLevel="0" collapsed="false">
      <c r="A273" s="11" t="n">
        <v>272</v>
      </c>
      <c r="B273" s="11" t="s">
        <v>495</v>
      </c>
      <c r="C273" s="11" t="s">
        <v>41</v>
      </c>
      <c r="D273" s="11" t="s">
        <v>398</v>
      </c>
      <c r="E273" s="11"/>
      <c r="F273" s="11" t="s">
        <v>366</v>
      </c>
      <c r="G273" s="11" t="s">
        <v>367</v>
      </c>
      <c r="H273" s="11" t="s">
        <v>45</v>
      </c>
      <c r="I273" s="11" t="s">
        <v>368</v>
      </c>
      <c r="J273" s="11" t="s">
        <v>369</v>
      </c>
      <c r="K273" s="11" t="s">
        <v>92</v>
      </c>
      <c r="L273" s="12" t="s">
        <v>370</v>
      </c>
    </row>
    <row r="274" customFormat="false" ht="22.35" hidden="false" customHeight="false" outlineLevel="0" collapsed="false">
      <c r="A274" s="11" t="n">
        <v>273</v>
      </c>
      <c r="B274" s="11" t="s">
        <v>495</v>
      </c>
      <c r="C274" s="11" t="s">
        <v>41</v>
      </c>
      <c r="D274" s="11" t="s">
        <v>398</v>
      </c>
      <c r="E274" s="11"/>
      <c r="F274" s="11"/>
      <c r="G274" s="11" t="s">
        <v>844</v>
      </c>
      <c r="H274" s="11" t="s">
        <v>77</v>
      </c>
      <c r="I274" s="11" t="s">
        <v>845</v>
      </c>
      <c r="J274" s="11" t="s">
        <v>846</v>
      </c>
      <c r="K274" s="11" t="s">
        <v>295</v>
      </c>
      <c r="L274" s="11"/>
    </row>
    <row r="275" customFormat="false" ht="22.35" hidden="false" customHeight="false" outlineLevel="0" collapsed="false">
      <c r="A275" s="11" t="n">
        <v>274</v>
      </c>
      <c r="B275" s="11" t="s">
        <v>495</v>
      </c>
      <c r="C275" s="11" t="s">
        <v>41</v>
      </c>
      <c r="D275" s="11" t="s">
        <v>398</v>
      </c>
      <c r="E275" s="11"/>
      <c r="F275" s="11"/>
      <c r="G275" s="11" t="s">
        <v>847</v>
      </c>
      <c r="H275" s="11" t="s">
        <v>515</v>
      </c>
      <c r="I275" s="11" t="s">
        <v>848</v>
      </c>
      <c r="J275" s="11" t="s">
        <v>849</v>
      </c>
      <c r="K275" s="11" t="s">
        <v>850</v>
      </c>
      <c r="L275" s="11"/>
    </row>
    <row r="276" customFormat="false" ht="22.35" hidden="false" customHeight="false" outlineLevel="0" collapsed="false">
      <c r="A276" s="11" t="n">
        <v>275</v>
      </c>
      <c r="B276" s="11" t="s">
        <v>495</v>
      </c>
      <c r="C276" s="11" t="s">
        <v>41</v>
      </c>
      <c r="D276" s="11" t="s">
        <v>398</v>
      </c>
      <c r="E276" s="11"/>
      <c r="F276" s="11"/>
      <c r="G276" s="11" t="s">
        <v>851</v>
      </c>
      <c r="H276" s="11" t="s">
        <v>176</v>
      </c>
      <c r="I276" s="11" t="s">
        <v>852</v>
      </c>
      <c r="J276" s="11" t="s">
        <v>47</v>
      </c>
      <c r="K276" s="11" t="s">
        <v>48</v>
      </c>
      <c r="L276" s="12" t="s">
        <v>853</v>
      </c>
    </row>
    <row r="277" customFormat="false" ht="22.35" hidden="false" customHeight="false" outlineLevel="0" collapsed="false">
      <c r="A277" s="11" t="n">
        <v>276</v>
      </c>
      <c r="B277" s="11" t="s">
        <v>495</v>
      </c>
      <c r="C277" s="11" t="s">
        <v>41</v>
      </c>
      <c r="D277" s="11" t="s">
        <v>398</v>
      </c>
      <c r="E277" s="11"/>
      <c r="F277" s="11"/>
      <c r="G277" s="11" t="s">
        <v>854</v>
      </c>
      <c r="H277" s="11" t="s">
        <v>198</v>
      </c>
      <c r="I277" s="11" t="s">
        <v>855</v>
      </c>
      <c r="J277" s="11" t="s">
        <v>856</v>
      </c>
      <c r="K277" s="11" t="s">
        <v>48</v>
      </c>
      <c r="L277" s="12" t="s">
        <v>857</v>
      </c>
    </row>
    <row r="278" customFormat="false" ht="22.35" hidden="false" customHeight="false" outlineLevel="0" collapsed="false">
      <c r="A278" s="11" t="n">
        <v>277</v>
      </c>
      <c r="B278" s="11" t="s">
        <v>495</v>
      </c>
      <c r="C278" s="11" t="s">
        <v>41</v>
      </c>
      <c r="D278" s="11" t="s">
        <v>398</v>
      </c>
      <c r="E278" s="11"/>
      <c r="F278" s="11"/>
      <c r="G278" s="11" t="s">
        <v>858</v>
      </c>
      <c r="H278" s="11" t="s">
        <v>45</v>
      </c>
      <c r="I278" s="11" t="s">
        <v>859</v>
      </c>
      <c r="J278" s="11" t="s">
        <v>860</v>
      </c>
      <c r="K278" s="11" t="s">
        <v>548</v>
      </c>
      <c r="L278" s="12" t="s">
        <v>861</v>
      </c>
    </row>
    <row r="279" customFormat="false" ht="22.35" hidden="false" customHeight="false" outlineLevel="0" collapsed="false">
      <c r="A279" s="11" t="n">
        <v>278</v>
      </c>
      <c r="B279" s="11" t="s">
        <v>495</v>
      </c>
      <c r="C279" s="11" t="s">
        <v>41</v>
      </c>
      <c r="D279" s="11" t="s">
        <v>398</v>
      </c>
      <c r="E279" s="11"/>
      <c r="F279" s="11"/>
      <c r="G279" s="11" t="s">
        <v>862</v>
      </c>
      <c r="H279" s="11" t="s">
        <v>198</v>
      </c>
      <c r="I279" s="11" t="s">
        <v>863</v>
      </c>
      <c r="J279" s="11" t="s">
        <v>507</v>
      </c>
      <c r="K279" s="11" t="s">
        <v>48</v>
      </c>
      <c r="L279" s="12" t="s">
        <v>864</v>
      </c>
    </row>
    <row r="280" customFormat="false" ht="32.8" hidden="false" customHeight="false" outlineLevel="0" collapsed="false">
      <c r="A280" s="11" t="n">
        <v>279</v>
      </c>
      <c r="B280" s="11" t="s">
        <v>495</v>
      </c>
      <c r="C280" s="11" t="s">
        <v>41</v>
      </c>
      <c r="D280" s="11" t="s">
        <v>398</v>
      </c>
      <c r="E280" s="11"/>
      <c r="F280" s="11"/>
      <c r="G280" s="11" t="s">
        <v>865</v>
      </c>
      <c r="H280" s="11" t="s">
        <v>45</v>
      </c>
      <c r="I280" s="11" t="s">
        <v>866</v>
      </c>
      <c r="J280" s="11" t="s">
        <v>867</v>
      </c>
      <c r="K280" s="11" t="s">
        <v>48</v>
      </c>
      <c r="L280" s="12" t="s">
        <v>868</v>
      </c>
    </row>
    <row r="281" customFormat="false" ht="32.8" hidden="false" customHeight="false" outlineLevel="0" collapsed="false">
      <c r="A281" s="11" t="n">
        <v>280</v>
      </c>
      <c r="B281" s="11" t="s">
        <v>495</v>
      </c>
      <c r="C281" s="11" t="s">
        <v>41</v>
      </c>
      <c r="D281" s="11" t="s">
        <v>398</v>
      </c>
      <c r="E281" s="11"/>
      <c r="F281" s="11" t="s">
        <v>376</v>
      </c>
      <c r="G281" s="11" t="s">
        <v>377</v>
      </c>
      <c r="H281" s="11" t="s">
        <v>135</v>
      </c>
      <c r="I281" s="11" t="s">
        <v>869</v>
      </c>
      <c r="J281" s="11" t="s">
        <v>379</v>
      </c>
      <c r="K281" s="11" t="s">
        <v>48</v>
      </c>
      <c r="L281" s="11"/>
    </row>
    <row r="282" customFormat="false" ht="22.35" hidden="false" customHeight="false" outlineLevel="0" collapsed="false">
      <c r="A282" s="11" t="n">
        <v>281</v>
      </c>
      <c r="B282" s="11" t="s">
        <v>495</v>
      </c>
      <c r="C282" s="11" t="s">
        <v>41</v>
      </c>
      <c r="D282" s="11" t="s">
        <v>398</v>
      </c>
      <c r="E282" s="11"/>
      <c r="F282" s="11" t="s">
        <v>381</v>
      </c>
      <c r="G282" s="11" t="s">
        <v>870</v>
      </c>
      <c r="H282" s="11" t="s">
        <v>45</v>
      </c>
      <c r="I282" s="11" t="s">
        <v>871</v>
      </c>
      <c r="J282" s="11" t="s">
        <v>384</v>
      </c>
      <c r="K282" s="11" t="s">
        <v>385</v>
      </c>
      <c r="L282" s="11"/>
    </row>
    <row r="283" customFormat="false" ht="22.35" hidden="false" customHeight="false" outlineLevel="0" collapsed="false">
      <c r="A283" s="11" t="n">
        <v>282</v>
      </c>
      <c r="B283" s="11" t="s">
        <v>495</v>
      </c>
      <c r="C283" s="11" t="s">
        <v>41</v>
      </c>
      <c r="D283" s="11" t="s">
        <v>398</v>
      </c>
      <c r="E283" s="11"/>
      <c r="F283" s="11" t="s">
        <v>387</v>
      </c>
      <c r="G283" s="11" t="s">
        <v>388</v>
      </c>
      <c r="H283" s="11" t="s">
        <v>45</v>
      </c>
      <c r="I283" s="11" t="s">
        <v>872</v>
      </c>
      <c r="J283" s="11" t="s">
        <v>390</v>
      </c>
      <c r="K283" s="11" t="s">
        <v>48</v>
      </c>
      <c r="L283" s="12" t="s">
        <v>391</v>
      </c>
    </row>
    <row r="284" customFormat="false" ht="22.35" hidden="false" customHeight="false" outlineLevel="0" collapsed="false">
      <c r="A284" s="11" t="n">
        <v>283</v>
      </c>
      <c r="B284" s="11" t="s">
        <v>495</v>
      </c>
      <c r="C284" s="11" t="s">
        <v>41</v>
      </c>
      <c r="D284" s="11" t="s">
        <v>398</v>
      </c>
      <c r="E284" s="11"/>
      <c r="F284" s="11" t="s">
        <v>392</v>
      </c>
      <c r="G284" s="11" t="s">
        <v>393</v>
      </c>
      <c r="H284" s="11" t="s">
        <v>84</v>
      </c>
      <c r="I284" s="11" t="s">
        <v>873</v>
      </c>
      <c r="J284" s="11" t="s">
        <v>395</v>
      </c>
      <c r="K284" s="11" t="s">
        <v>48</v>
      </c>
      <c r="L284" s="12" t="s">
        <v>396</v>
      </c>
    </row>
    <row r="285" customFormat="false" ht="22.35" hidden="false" customHeight="false" outlineLevel="0" collapsed="false">
      <c r="A285" s="11" t="n">
        <v>284</v>
      </c>
      <c r="B285" s="11" t="s">
        <v>495</v>
      </c>
      <c r="C285" s="11" t="s">
        <v>41</v>
      </c>
      <c r="D285" s="11" t="s">
        <v>398</v>
      </c>
      <c r="E285" s="11"/>
      <c r="F285" s="11" t="s">
        <v>262</v>
      </c>
      <c r="G285" s="11" t="s">
        <v>874</v>
      </c>
      <c r="H285" s="11" t="s">
        <v>45</v>
      </c>
      <c r="I285" s="11" t="s">
        <v>264</v>
      </c>
      <c r="J285" s="11" t="s">
        <v>265</v>
      </c>
      <c r="K285" s="11" t="s">
        <v>48</v>
      </c>
      <c r="L285" s="12" t="s">
        <v>266</v>
      </c>
    </row>
    <row r="286" customFormat="false" ht="22.35" hidden="false" customHeight="false" outlineLevel="0" collapsed="false">
      <c r="A286" s="11" t="n">
        <v>285</v>
      </c>
      <c r="B286" s="11" t="s">
        <v>495</v>
      </c>
      <c r="C286" s="11" t="s">
        <v>41</v>
      </c>
      <c r="D286" s="11" t="s">
        <v>398</v>
      </c>
      <c r="E286" s="11"/>
      <c r="F286" s="11" t="s">
        <v>257</v>
      </c>
      <c r="G286" s="11" t="s">
        <v>875</v>
      </c>
      <c r="H286" s="11" t="s">
        <v>118</v>
      </c>
      <c r="I286" s="11" t="s">
        <v>259</v>
      </c>
      <c r="J286" s="11" t="s">
        <v>260</v>
      </c>
      <c r="K286" s="11" t="s">
        <v>48</v>
      </c>
      <c r="L286" s="12" t="s">
        <v>261</v>
      </c>
    </row>
    <row r="287" customFormat="false" ht="22.35" hidden="false" customHeight="false" outlineLevel="0" collapsed="false">
      <c r="A287" s="11" t="n">
        <v>286</v>
      </c>
      <c r="B287" s="11" t="s">
        <v>495</v>
      </c>
      <c r="C287" s="11" t="s">
        <v>41</v>
      </c>
      <c r="D287" s="11" t="s">
        <v>398</v>
      </c>
      <c r="E287" s="11"/>
      <c r="F287" s="11" t="s">
        <v>257</v>
      </c>
      <c r="G287" s="11" t="s">
        <v>875</v>
      </c>
      <c r="H287" s="11" t="s">
        <v>118</v>
      </c>
      <c r="I287" s="11" t="s">
        <v>259</v>
      </c>
      <c r="J287" s="11" t="s">
        <v>260</v>
      </c>
      <c r="K287" s="11" t="s">
        <v>48</v>
      </c>
      <c r="L287" s="12" t="s">
        <v>261</v>
      </c>
    </row>
    <row r="288" customFormat="false" ht="22.35" hidden="false" customHeight="false" outlineLevel="0" collapsed="false">
      <c r="A288" s="11" t="n">
        <v>287</v>
      </c>
      <c r="B288" s="11" t="s">
        <v>495</v>
      </c>
      <c r="C288" s="11" t="s">
        <v>41</v>
      </c>
      <c r="D288" s="11" t="s">
        <v>398</v>
      </c>
      <c r="E288" s="11"/>
      <c r="F288" s="11"/>
      <c r="G288" s="11" t="s">
        <v>876</v>
      </c>
      <c r="H288" s="11" t="s">
        <v>135</v>
      </c>
      <c r="I288" s="11" t="s">
        <v>877</v>
      </c>
      <c r="J288" s="11" t="s">
        <v>878</v>
      </c>
      <c r="K288" s="11" t="s">
        <v>48</v>
      </c>
      <c r="L288" s="12" t="s">
        <v>879</v>
      </c>
    </row>
    <row r="289" customFormat="false" ht="22.35" hidden="false" customHeight="false" outlineLevel="0" collapsed="false">
      <c r="A289" s="11" t="n">
        <v>288</v>
      </c>
      <c r="B289" s="11" t="s">
        <v>495</v>
      </c>
      <c r="C289" s="11" t="s">
        <v>41</v>
      </c>
      <c r="D289" s="11" t="s">
        <v>398</v>
      </c>
      <c r="E289" s="11"/>
      <c r="F289" s="11"/>
      <c r="G289" s="11" t="s">
        <v>880</v>
      </c>
      <c r="H289" s="11" t="s">
        <v>189</v>
      </c>
      <c r="I289" s="11" t="s">
        <v>881</v>
      </c>
      <c r="J289" s="11" t="s">
        <v>321</v>
      </c>
      <c r="K289" s="11" t="s">
        <v>48</v>
      </c>
      <c r="L289" s="12" t="s">
        <v>882</v>
      </c>
    </row>
    <row r="290" customFormat="false" ht="22.35" hidden="false" customHeight="false" outlineLevel="0" collapsed="false">
      <c r="A290" s="11" t="n">
        <v>289</v>
      </c>
      <c r="B290" s="11" t="s">
        <v>495</v>
      </c>
      <c r="C290" s="11" t="s">
        <v>41</v>
      </c>
      <c r="D290" s="11" t="s">
        <v>398</v>
      </c>
      <c r="E290" s="11"/>
      <c r="F290" s="11"/>
      <c r="G290" s="11" t="s">
        <v>594</v>
      </c>
      <c r="H290" s="11" t="s">
        <v>107</v>
      </c>
      <c r="I290" s="11" t="s">
        <v>883</v>
      </c>
      <c r="J290" s="11" t="s">
        <v>596</v>
      </c>
      <c r="K290" s="11" t="s">
        <v>760</v>
      </c>
      <c r="L290" s="11"/>
    </row>
    <row r="291" customFormat="false" ht="32.8" hidden="false" customHeight="false" outlineLevel="0" collapsed="false">
      <c r="A291" s="11" t="n">
        <v>290</v>
      </c>
      <c r="B291" s="11" t="s">
        <v>495</v>
      </c>
      <c r="C291" s="11" t="s">
        <v>41</v>
      </c>
      <c r="D291" s="11" t="s">
        <v>398</v>
      </c>
      <c r="E291" s="11"/>
      <c r="F291" s="11"/>
      <c r="G291" s="11" t="s">
        <v>884</v>
      </c>
      <c r="H291" s="11" t="s">
        <v>152</v>
      </c>
      <c r="I291" s="11" t="s">
        <v>885</v>
      </c>
      <c r="J291" s="11" t="s">
        <v>886</v>
      </c>
      <c r="K291" s="11" t="s">
        <v>48</v>
      </c>
      <c r="L291" s="12" t="s">
        <v>887</v>
      </c>
    </row>
    <row r="292" customFormat="false" ht="22.35" hidden="false" customHeight="false" outlineLevel="0" collapsed="false">
      <c r="A292" s="11" t="n">
        <v>291</v>
      </c>
      <c r="B292" s="11" t="s">
        <v>495</v>
      </c>
      <c r="C292" s="11" t="s">
        <v>41</v>
      </c>
      <c r="D292" s="11" t="s">
        <v>398</v>
      </c>
      <c r="E292" s="11"/>
      <c r="F292" s="11" t="s">
        <v>100</v>
      </c>
      <c r="G292" s="11" t="s">
        <v>888</v>
      </c>
      <c r="H292" s="11" t="s">
        <v>45</v>
      </c>
      <c r="I292" s="11" t="s">
        <v>102</v>
      </c>
      <c r="J292" s="11" t="s">
        <v>103</v>
      </c>
      <c r="K292" s="11" t="s">
        <v>48</v>
      </c>
      <c r="L292" s="12" t="s">
        <v>104</v>
      </c>
    </row>
    <row r="293" customFormat="false" ht="22.35" hidden="false" customHeight="false" outlineLevel="0" collapsed="false">
      <c r="A293" s="11" t="n">
        <v>292</v>
      </c>
      <c r="B293" s="11" t="s">
        <v>495</v>
      </c>
      <c r="C293" s="11" t="s">
        <v>41</v>
      </c>
      <c r="D293" s="11" t="s">
        <v>398</v>
      </c>
      <c r="E293" s="11"/>
      <c r="F293" s="11" t="s">
        <v>100</v>
      </c>
      <c r="G293" s="11" t="s">
        <v>888</v>
      </c>
      <c r="H293" s="11" t="s">
        <v>45</v>
      </c>
      <c r="I293" s="11" t="s">
        <v>102</v>
      </c>
      <c r="J293" s="11" t="s">
        <v>103</v>
      </c>
      <c r="K293" s="11" t="s">
        <v>48</v>
      </c>
      <c r="L293" s="12" t="s">
        <v>104</v>
      </c>
    </row>
    <row r="294" customFormat="false" ht="22.35" hidden="false" customHeight="false" outlineLevel="0" collapsed="false">
      <c r="A294" s="11" t="n">
        <v>293</v>
      </c>
      <c r="B294" s="11" t="s">
        <v>495</v>
      </c>
      <c r="C294" s="11" t="s">
        <v>41</v>
      </c>
      <c r="D294" s="11" t="s">
        <v>398</v>
      </c>
      <c r="E294" s="11"/>
      <c r="F294" s="11"/>
      <c r="G294" s="11" t="s">
        <v>889</v>
      </c>
      <c r="H294" s="11" t="s">
        <v>77</v>
      </c>
      <c r="I294" s="11" t="s">
        <v>890</v>
      </c>
      <c r="J294" s="11" t="s">
        <v>891</v>
      </c>
      <c r="K294" s="11" t="s">
        <v>92</v>
      </c>
      <c r="L294" s="12" t="s">
        <v>892</v>
      </c>
    </row>
    <row r="295" customFormat="false" ht="22.35" hidden="false" customHeight="false" outlineLevel="0" collapsed="false">
      <c r="A295" s="11" t="n">
        <v>294</v>
      </c>
      <c r="B295" s="11" t="s">
        <v>495</v>
      </c>
      <c r="C295" s="11" t="s">
        <v>41</v>
      </c>
      <c r="D295" s="11" t="s">
        <v>398</v>
      </c>
      <c r="E295" s="11"/>
      <c r="F295" s="11" t="s">
        <v>406</v>
      </c>
      <c r="G295" s="11" t="s">
        <v>407</v>
      </c>
      <c r="H295" s="11" t="s">
        <v>189</v>
      </c>
      <c r="I295" s="11" t="s">
        <v>408</v>
      </c>
      <c r="J295" s="11" t="s">
        <v>47</v>
      </c>
      <c r="K295" s="11" t="s">
        <v>254</v>
      </c>
      <c r="L295" s="12" t="s">
        <v>409</v>
      </c>
    </row>
    <row r="296" customFormat="false" ht="22.35" hidden="false" customHeight="false" outlineLevel="0" collapsed="false">
      <c r="A296" s="11" t="n">
        <v>295</v>
      </c>
      <c r="B296" s="11" t="s">
        <v>495</v>
      </c>
      <c r="C296" s="11" t="s">
        <v>41</v>
      </c>
      <c r="D296" s="11" t="s">
        <v>398</v>
      </c>
      <c r="E296" s="11"/>
      <c r="F296" s="11"/>
      <c r="G296" s="11" t="s">
        <v>893</v>
      </c>
      <c r="H296" s="11" t="s">
        <v>176</v>
      </c>
      <c r="I296" s="11" t="s">
        <v>894</v>
      </c>
      <c r="J296" s="11" t="s">
        <v>895</v>
      </c>
      <c r="K296" s="11" t="s">
        <v>48</v>
      </c>
      <c r="L296" s="12" t="s">
        <v>896</v>
      </c>
    </row>
    <row r="297" customFormat="false" ht="22.35" hidden="false" customHeight="false" outlineLevel="0" collapsed="false">
      <c r="A297" s="11" t="n">
        <v>296</v>
      </c>
      <c r="B297" s="11" t="s">
        <v>495</v>
      </c>
      <c r="C297" s="11" t="s">
        <v>41</v>
      </c>
      <c r="D297" s="11" t="s">
        <v>398</v>
      </c>
      <c r="E297" s="11"/>
      <c r="F297" s="11" t="s">
        <v>105</v>
      </c>
      <c r="G297" s="11" t="s">
        <v>106</v>
      </c>
      <c r="H297" s="11" t="s">
        <v>107</v>
      </c>
      <c r="I297" s="11" t="s">
        <v>108</v>
      </c>
      <c r="J297" s="11" t="s">
        <v>109</v>
      </c>
      <c r="K297" s="11" t="s">
        <v>48</v>
      </c>
      <c r="L297" s="12" t="s">
        <v>110</v>
      </c>
    </row>
    <row r="298" customFormat="false" ht="22.35" hidden="false" customHeight="false" outlineLevel="0" collapsed="false">
      <c r="A298" s="11" t="n">
        <v>297</v>
      </c>
      <c r="B298" s="11" t="s">
        <v>495</v>
      </c>
      <c r="C298" s="11" t="s">
        <v>41</v>
      </c>
      <c r="D298" s="11" t="s">
        <v>398</v>
      </c>
      <c r="E298" s="11"/>
      <c r="F298" s="11" t="s">
        <v>111</v>
      </c>
      <c r="G298" s="11" t="s">
        <v>112</v>
      </c>
      <c r="H298" s="11" t="s">
        <v>107</v>
      </c>
      <c r="I298" s="11" t="s">
        <v>113</v>
      </c>
      <c r="J298" s="11" t="s">
        <v>114</v>
      </c>
      <c r="K298" s="11" t="s">
        <v>48</v>
      </c>
      <c r="L298" s="12" t="s">
        <v>115</v>
      </c>
    </row>
    <row r="299" customFormat="false" ht="22.35" hidden="false" customHeight="false" outlineLevel="0" collapsed="false">
      <c r="A299" s="11" t="n">
        <v>298</v>
      </c>
      <c r="B299" s="11" t="s">
        <v>495</v>
      </c>
      <c r="C299" s="11" t="s">
        <v>41</v>
      </c>
      <c r="D299" s="11" t="s">
        <v>398</v>
      </c>
      <c r="E299" s="11"/>
      <c r="F299" s="11"/>
      <c r="G299" s="11" t="s">
        <v>750</v>
      </c>
      <c r="H299" s="11" t="s">
        <v>515</v>
      </c>
      <c r="I299" s="11" t="s">
        <v>751</v>
      </c>
      <c r="J299" s="11"/>
      <c r="K299" s="11" t="s">
        <v>752</v>
      </c>
      <c r="L299" s="11"/>
    </row>
    <row r="300" customFormat="false" ht="22.35" hidden="false" customHeight="false" outlineLevel="0" collapsed="false">
      <c r="A300" s="11" t="n">
        <v>299</v>
      </c>
      <c r="B300" s="11" t="s">
        <v>495</v>
      </c>
      <c r="C300" s="11" t="s">
        <v>41</v>
      </c>
      <c r="D300" s="11" t="s">
        <v>398</v>
      </c>
      <c r="E300" s="11"/>
      <c r="F300" s="11"/>
      <c r="G300" s="11" t="s">
        <v>750</v>
      </c>
      <c r="H300" s="11" t="s">
        <v>45</v>
      </c>
      <c r="I300" s="11" t="s">
        <v>751</v>
      </c>
      <c r="J300" s="11"/>
      <c r="K300" s="11" t="s">
        <v>752</v>
      </c>
      <c r="L300" s="11"/>
    </row>
    <row r="301" customFormat="false" ht="22.35" hidden="false" customHeight="false" outlineLevel="0" collapsed="false">
      <c r="A301" s="11" t="n">
        <v>300</v>
      </c>
      <c r="B301" s="11" t="s">
        <v>495</v>
      </c>
      <c r="C301" s="11" t="s">
        <v>41</v>
      </c>
      <c r="D301" s="11" t="s">
        <v>398</v>
      </c>
      <c r="E301" s="11"/>
      <c r="F301" s="11"/>
      <c r="G301" s="11" t="s">
        <v>750</v>
      </c>
      <c r="H301" s="11" t="s">
        <v>45</v>
      </c>
      <c r="I301" s="11" t="s">
        <v>751</v>
      </c>
      <c r="J301" s="11"/>
      <c r="K301" s="11" t="s">
        <v>752</v>
      </c>
      <c r="L301" s="11"/>
    </row>
    <row r="302" customFormat="false" ht="22.35" hidden="false" customHeight="false" outlineLevel="0" collapsed="false">
      <c r="A302" s="11" t="n">
        <v>301</v>
      </c>
      <c r="B302" s="11" t="s">
        <v>495</v>
      </c>
      <c r="C302" s="11" t="s">
        <v>41</v>
      </c>
      <c r="D302" s="11" t="s">
        <v>398</v>
      </c>
      <c r="E302" s="11"/>
      <c r="F302" s="11"/>
      <c r="G302" s="11" t="s">
        <v>750</v>
      </c>
      <c r="H302" s="11" t="s">
        <v>515</v>
      </c>
      <c r="I302" s="11" t="s">
        <v>751</v>
      </c>
      <c r="J302" s="11"/>
      <c r="K302" s="11" t="s">
        <v>752</v>
      </c>
      <c r="L302" s="11"/>
    </row>
    <row r="303" customFormat="false" ht="22.35" hidden="false" customHeight="false" outlineLevel="0" collapsed="false">
      <c r="A303" s="11" t="n">
        <v>302</v>
      </c>
      <c r="B303" s="11" t="s">
        <v>495</v>
      </c>
      <c r="C303" s="11" t="s">
        <v>41</v>
      </c>
      <c r="D303" s="11" t="s">
        <v>398</v>
      </c>
      <c r="E303" s="11"/>
      <c r="F303" s="11"/>
      <c r="G303" s="11" t="s">
        <v>897</v>
      </c>
      <c r="H303" s="11" t="s">
        <v>308</v>
      </c>
      <c r="I303" s="11" t="s">
        <v>898</v>
      </c>
      <c r="J303" s="11" t="s">
        <v>899</v>
      </c>
      <c r="K303" s="11" t="s">
        <v>900</v>
      </c>
      <c r="L303" s="11"/>
    </row>
    <row r="304" customFormat="false" ht="22.35" hidden="false" customHeight="false" outlineLevel="0" collapsed="false">
      <c r="A304" s="11" t="n">
        <v>303</v>
      </c>
      <c r="B304" s="11" t="s">
        <v>495</v>
      </c>
      <c r="C304" s="11" t="s">
        <v>41</v>
      </c>
      <c r="D304" s="11" t="s">
        <v>398</v>
      </c>
      <c r="E304" s="11"/>
      <c r="F304" s="11" t="s">
        <v>122</v>
      </c>
      <c r="G304" s="11" t="s">
        <v>123</v>
      </c>
      <c r="H304" s="11" t="s">
        <v>124</v>
      </c>
      <c r="I304" s="11" t="s">
        <v>125</v>
      </c>
      <c r="J304" s="11" t="s">
        <v>126</v>
      </c>
      <c r="K304" s="11" t="s">
        <v>48</v>
      </c>
      <c r="L304" s="12" t="s">
        <v>127</v>
      </c>
    </row>
    <row r="305" customFormat="false" ht="22.35" hidden="false" customHeight="false" outlineLevel="0" collapsed="false">
      <c r="A305" s="11" t="n">
        <v>304</v>
      </c>
      <c r="B305" s="11" t="s">
        <v>495</v>
      </c>
      <c r="C305" s="11" t="s">
        <v>41</v>
      </c>
      <c r="D305" s="11" t="s">
        <v>398</v>
      </c>
      <c r="E305" s="11"/>
      <c r="F305" s="11"/>
      <c r="G305" s="11" t="s">
        <v>652</v>
      </c>
      <c r="H305" s="11" t="s">
        <v>135</v>
      </c>
      <c r="I305" s="11" t="s">
        <v>901</v>
      </c>
      <c r="J305" s="11" t="s">
        <v>902</v>
      </c>
      <c r="K305" s="11" t="s">
        <v>656</v>
      </c>
      <c r="L305" s="11"/>
    </row>
    <row r="306" customFormat="false" ht="22.35" hidden="false" customHeight="false" outlineLevel="0" collapsed="false">
      <c r="A306" s="11" t="n">
        <v>305</v>
      </c>
      <c r="B306" s="11" t="s">
        <v>495</v>
      </c>
      <c r="C306" s="11" t="s">
        <v>41</v>
      </c>
      <c r="D306" s="11" t="s">
        <v>398</v>
      </c>
      <c r="E306" s="11"/>
      <c r="F306" s="11"/>
      <c r="G306" s="11" t="s">
        <v>903</v>
      </c>
      <c r="H306" s="11" t="s">
        <v>176</v>
      </c>
      <c r="I306" s="11" t="s">
        <v>904</v>
      </c>
      <c r="J306" s="11" t="s">
        <v>905</v>
      </c>
      <c r="K306" s="11" t="s">
        <v>48</v>
      </c>
      <c r="L306" s="12" t="s">
        <v>906</v>
      </c>
    </row>
    <row r="307" customFormat="false" ht="22.35" hidden="false" customHeight="false" outlineLevel="0" collapsed="false">
      <c r="A307" s="11" t="n">
        <v>306</v>
      </c>
      <c r="B307" s="11" t="s">
        <v>495</v>
      </c>
      <c r="C307" s="11" t="s">
        <v>41</v>
      </c>
      <c r="D307" s="11" t="s">
        <v>398</v>
      </c>
      <c r="E307" s="11"/>
      <c r="F307" s="11"/>
      <c r="G307" s="11" t="s">
        <v>907</v>
      </c>
      <c r="H307" s="11" t="s">
        <v>135</v>
      </c>
      <c r="I307" s="11" t="s">
        <v>908</v>
      </c>
      <c r="J307" s="11" t="s">
        <v>909</v>
      </c>
      <c r="K307" s="11" t="s">
        <v>48</v>
      </c>
      <c r="L307" s="12" t="s">
        <v>910</v>
      </c>
    </row>
    <row r="308" customFormat="false" ht="22.35" hidden="false" customHeight="false" outlineLevel="0" collapsed="false">
      <c r="A308" s="11" t="n">
        <v>307</v>
      </c>
      <c r="B308" s="11" t="s">
        <v>495</v>
      </c>
      <c r="C308" s="11" t="s">
        <v>41</v>
      </c>
      <c r="D308" s="11" t="s">
        <v>398</v>
      </c>
      <c r="E308" s="11"/>
      <c r="F308" s="11"/>
      <c r="G308" s="11" t="s">
        <v>911</v>
      </c>
      <c r="H308" s="11" t="s">
        <v>45</v>
      </c>
      <c r="I308" s="11" t="s">
        <v>912</v>
      </c>
      <c r="J308" s="11" t="s">
        <v>909</v>
      </c>
      <c r="K308" s="11" t="s">
        <v>48</v>
      </c>
      <c r="L308" s="12" t="s">
        <v>913</v>
      </c>
    </row>
    <row r="309" customFormat="false" ht="22.35" hidden="false" customHeight="false" outlineLevel="0" collapsed="false">
      <c r="A309" s="11" t="n">
        <v>308</v>
      </c>
      <c r="B309" s="11" t="s">
        <v>495</v>
      </c>
      <c r="C309" s="11" t="s">
        <v>41</v>
      </c>
      <c r="D309" s="11" t="s">
        <v>398</v>
      </c>
      <c r="E309" s="11"/>
      <c r="F309" s="11" t="s">
        <v>133</v>
      </c>
      <c r="G309" s="11" t="s">
        <v>914</v>
      </c>
      <c r="H309" s="11" t="s">
        <v>135</v>
      </c>
      <c r="I309" s="11" t="s">
        <v>136</v>
      </c>
      <c r="J309" s="11" t="s">
        <v>137</v>
      </c>
      <c r="K309" s="11" t="s">
        <v>48</v>
      </c>
      <c r="L309" s="12" t="s">
        <v>138</v>
      </c>
    </row>
    <row r="310" customFormat="false" ht="22.35" hidden="false" customHeight="false" outlineLevel="0" collapsed="false">
      <c r="A310" s="11" t="n">
        <v>309</v>
      </c>
      <c r="B310" s="11" t="s">
        <v>495</v>
      </c>
      <c r="C310" s="11" t="s">
        <v>41</v>
      </c>
      <c r="D310" s="11" t="s">
        <v>398</v>
      </c>
      <c r="E310" s="11"/>
      <c r="F310" s="11" t="s">
        <v>139</v>
      </c>
      <c r="G310" s="11" t="s">
        <v>140</v>
      </c>
      <c r="H310" s="11" t="s">
        <v>118</v>
      </c>
      <c r="I310" s="11" t="s">
        <v>141</v>
      </c>
      <c r="J310" s="11" t="s">
        <v>142</v>
      </c>
      <c r="K310" s="11" t="s">
        <v>48</v>
      </c>
      <c r="L310" s="12" t="s">
        <v>143</v>
      </c>
    </row>
    <row r="311" customFormat="false" ht="22.35" hidden="false" customHeight="false" outlineLevel="0" collapsed="false">
      <c r="A311" s="11" t="n">
        <v>310</v>
      </c>
      <c r="B311" s="11" t="s">
        <v>495</v>
      </c>
      <c r="C311" s="11" t="s">
        <v>41</v>
      </c>
      <c r="D311" s="11" t="s">
        <v>398</v>
      </c>
      <c r="E311" s="11"/>
      <c r="F311" s="11" t="s">
        <v>145</v>
      </c>
      <c r="G311" s="11" t="s">
        <v>915</v>
      </c>
      <c r="H311" s="11" t="s">
        <v>45</v>
      </c>
      <c r="I311" s="11" t="s">
        <v>147</v>
      </c>
      <c r="J311" s="11" t="s">
        <v>148</v>
      </c>
      <c r="K311" s="11" t="s">
        <v>48</v>
      </c>
      <c r="L311" s="12" t="s">
        <v>149</v>
      </c>
    </row>
    <row r="312" customFormat="false" ht="22.35" hidden="false" customHeight="false" outlineLevel="0" collapsed="false">
      <c r="A312" s="11" t="n">
        <v>311</v>
      </c>
      <c r="B312" s="11" t="s">
        <v>495</v>
      </c>
      <c r="C312" s="11" t="s">
        <v>41</v>
      </c>
      <c r="D312" s="11" t="s">
        <v>398</v>
      </c>
      <c r="E312" s="11"/>
      <c r="F312" s="11"/>
      <c r="G312" s="11" t="s">
        <v>719</v>
      </c>
      <c r="H312" s="11" t="s">
        <v>515</v>
      </c>
      <c r="I312" s="11" t="s">
        <v>916</v>
      </c>
      <c r="J312" s="11" t="s">
        <v>721</v>
      </c>
      <c r="K312" s="11" t="s">
        <v>722</v>
      </c>
      <c r="L312" s="11"/>
    </row>
    <row r="313" customFormat="false" ht="22.35" hidden="false" customHeight="false" outlineLevel="0" collapsed="false">
      <c r="A313" s="11" t="n">
        <v>312</v>
      </c>
      <c r="B313" s="11" t="s">
        <v>495</v>
      </c>
      <c r="C313" s="11" t="s">
        <v>41</v>
      </c>
      <c r="D313" s="11" t="s">
        <v>398</v>
      </c>
      <c r="E313" s="11"/>
      <c r="F313" s="11"/>
      <c r="G313" s="11" t="s">
        <v>719</v>
      </c>
      <c r="H313" s="11" t="s">
        <v>135</v>
      </c>
      <c r="I313" s="11" t="s">
        <v>917</v>
      </c>
      <c r="J313" s="11" t="s">
        <v>721</v>
      </c>
      <c r="K313" s="11" t="s">
        <v>722</v>
      </c>
      <c r="L313" s="11"/>
    </row>
    <row r="314" customFormat="false" ht="22.35" hidden="false" customHeight="false" outlineLevel="0" collapsed="false">
      <c r="A314" s="11" t="n">
        <v>313</v>
      </c>
      <c r="B314" s="11" t="s">
        <v>495</v>
      </c>
      <c r="C314" s="11" t="s">
        <v>41</v>
      </c>
      <c r="D314" s="11" t="s">
        <v>398</v>
      </c>
      <c r="E314" s="11"/>
      <c r="F314" s="11" t="s">
        <v>150</v>
      </c>
      <c r="G314" s="11" t="s">
        <v>151</v>
      </c>
      <c r="H314" s="11" t="s">
        <v>152</v>
      </c>
      <c r="I314" s="11" t="s">
        <v>153</v>
      </c>
      <c r="J314" s="11" t="s">
        <v>154</v>
      </c>
      <c r="K314" s="11" t="s">
        <v>48</v>
      </c>
      <c r="L314" s="12" t="s">
        <v>155</v>
      </c>
    </row>
    <row r="315" customFormat="false" ht="22.35" hidden="false" customHeight="false" outlineLevel="0" collapsed="false">
      <c r="A315" s="11" t="n">
        <v>314</v>
      </c>
      <c r="B315" s="11" t="s">
        <v>495</v>
      </c>
      <c r="C315" s="11" t="s">
        <v>41</v>
      </c>
      <c r="D315" s="11" t="s">
        <v>398</v>
      </c>
      <c r="E315" s="11"/>
      <c r="F315" s="11"/>
      <c r="G315" s="11" t="s">
        <v>918</v>
      </c>
      <c r="H315" s="11" t="s">
        <v>216</v>
      </c>
      <c r="I315" s="11" t="s">
        <v>919</v>
      </c>
      <c r="J315" s="11" t="s">
        <v>920</v>
      </c>
      <c r="K315" s="11" t="s">
        <v>48</v>
      </c>
      <c r="L315" s="12" t="s">
        <v>921</v>
      </c>
    </row>
    <row r="316" customFormat="false" ht="22.35" hidden="false" customHeight="false" outlineLevel="0" collapsed="false">
      <c r="A316" s="11" t="n">
        <v>315</v>
      </c>
      <c r="B316" s="11" t="s">
        <v>495</v>
      </c>
      <c r="C316" s="11" t="s">
        <v>41</v>
      </c>
      <c r="D316" s="11" t="s">
        <v>398</v>
      </c>
      <c r="E316" s="11"/>
      <c r="F316" s="11"/>
      <c r="G316" s="11" t="s">
        <v>880</v>
      </c>
      <c r="H316" s="11" t="s">
        <v>189</v>
      </c>
      <c r="I316" s="11" t="s">
        <v>881</v>
      </c>
      <c r="J316" s="11" t="s">
        <v>321</v>
      </c>
      <c r="K316" s="11" t="s">
        <v>48</v>
      </c>
      <c r="L316" s="12" t="s">
        <v>882</v>
      </c>
    </row>
    <row r="317" customFormat="false" ht="32.8" hidden="false" customHeight="false" outlineLevel="0" collapsed="false">
      <c r="A317" s="11" t="n">
        <v>316</v>
      </c>
      <c r="B317" s="11" t="s">
        <v>495</v>
      </c>
      <c r="C317" s="11" t="s">
        <v>41</v>
      </c>
      <c r="D317" s="11" t="s">
        <v>398</v>
      </c>
      <c r="E317" s="11"/>
      <c r="F317" s="11" t="s">
        <v>318</v>
      </c>
      <c r="G317" s="11" t="s">
        <v>319</v>
      </c>
      <c r="H317" s="11" t="s">
        <v>107</v>
      </c>
      <c r="I317" s="11" t="s">
        <v>320</v>
      </c>
      <c r="J317" s="11" t="s">
        <v>321</v>
      </c>
      <c r="K317" s="11" t="s">
        <v>48</v>
      </c>
      <c r="L317" s="12" t="s">
        <v>322</v>
      </c>
    </row>
    <row r="318" customFormat="false" ht="22.35" hidden="false" customHeight="false" outlineLevel="0" collapsed="false">
      <c r="A318" s="11" t="n">
        <v>317</v>
      </c>
      <c r="B318" s="11" t="s">
        <v>495</v>
      </c>
      <c r="C318" s="11" t="s">
        <v>41</v>
      </c>
      <c r="D318" s="11" t="s">
        <v>398</v>
      </c>
      <c r="E318" s="11"/>
      <c r="F318" s="11" t="s">
        <v>163</v>
      </c>
      <c r="G318" s="11" t="s">
        <v>164</v>
      </c>
      <c r="H318" s="11" t="s">
        <v>118</v>
      </c>
      <c r="I318" s="11" t="s">
        <v>165</v>
      </c>
      <c r="J318" s="11" t="s">
        <v>166</v>
      </c>
      <c r="K318" s="11" t="s">
        <v>48</v>
      </c>
      <c r="L318" s="12" t="s">
        <v>167</v>
      </c>
    </row>
    <row r="319" customFormat="false" ht="22.35" hidden="false" customHeight="false" outlineLevel="0" collapsed="false">
      <c r="A319" s="11" t="n">
        <v>318</v>
      </c>
      <c r="B319" s="11" t="s">
        <v>495</v>
      </c>
      <c r="C319" s="11" t="s">
        <v>41</v>
      </c>
      <c r="D319" s="11" t="s">
        <v>398</v>
      </c>
      <c r="E319" s="11"/>
      <c r="F319" s="11"/>
      <c r="G319" s="11" t="s">
        <v>922</v>
      </c>
      <c r="H319" s="11" t="s">
        <v>84</v>
      </c>
      <c r="I319" s="11" t="s">
        <v>923</v>
      </c>
      <c r="J319" s="11" t="s">
        <v>924</v>
      </c>
      <c r="K319" s="11" t="s">
        <v>48</v>
      </c>
      <c r="L319" s="11"/>
    </row>
    <row r="320" customFormat="false" ht="32.8" hidden="false" customHeight="false" outlineLevel="0" collapsed="false">
      <c r="A320" s="11" t="n">
        <v>319</v>
      </c>
      <c r="B320" s="11" t="s">
        <v>495</v>
      </c>
      <c r="C320" s="11" t="s">
        <v>41</v>
      </c>
      <c r="D320" s="11" t="s">
        <v>398</v>
      </c>
      <c r="E320" s="11"/>
      <c r="F320" s="11" t="s">
        <v>340</v>
      </c>
      <c r="G320" s="11" t="s">
        <v>341</v>
      </c>
      <c r="H320" s="11" t="s">
        <v>152</v>
      </c>
      <c r="I320" s="11" t="s">
        <v>342</v>
      </c>
      <c r="J320" s="11" t="s">
        <v>343</v>
      </c>
      <c r="K320" s="11" t="s">
        <v>48</v>
      </c>
      <c r="L320" s="12" t="s">
        <v>344</v>
      </c>
    </row>
    <row r="321" customFormat="false" ht="32.8" hidden="false" customHeight="false" outlineLevel="0" collapsed="false">
      <c r="A321" s="11" t="n">
        <v>320</v>
      </c>
      <c r="B321" s="11" t="s">
        <v>495</v>
      </c>
      <c r="C321" s="11" t="s">
        <v>41</v>
      </c>
      <c r="D321" s="11" t="s">
        <v>398</v>
      </c>
      <c r="E321" s="11"/>
      <c r="F321" s="11" t="s">
        <v>340</v>
      </c>
      <c r="G321" s="11" t="s">
        <v>341</v>
      </c>
      <c r="H321" s="11" t="s">
        <v>152</v>
      </c>
      <c r="I321" s="11" t="s">
        <v>342</v>
      </c>
      <c r="J321" s="11" t="s">
        <v>343</v>
      </c>
      <c r="K321" s="11" t="s">
        <v>48</v>
      </c>
      <c r="L321" s="12" t="s">
        <v>344</v>
      </c>
    </row>
    <row r="322" customFormat="false" ht="22.35" hidden="false" customHeight="false" outlineLevel="0" collapsed="false">
      <c r="A322" s="11" t="n">
        <v>321</v>
      </c>
      <c r="B322" s="11" t="s">
        <v>495</v>
      </c>
      <c r="C322" s="11" t="s">
        <v>41</v>
      </c>
      <c r="D322" s="11" t="s">
        <v>398</v>
      </c>
      <c r="E322" s="11"/>
      <c r="F322" s="11" t="s">
        <v>174</v>
      </c>
      <c r="G322" s="11" t="s">
        <v>175</v>
      </c>
      <c r="H322" s="11" t="s">
        <v>176</v>
      </c>
      <c r="I322" s="11" t="s">
        <v>177</v>
      </c>
      <c r="J322" s="11" t="s">
        <v>178</v>
      </c>
      <c r="K322" s="11" t="s">
        <v>48</v>
      </c>
      <c r="L322" s="12" t="s">
        <v>179</v>
      </c>
    </row>
    <row r="323" customFormat="false" ht="22.35" hidden="false" customHeight="false" outlineLevel="0" collapsed="false">
      <c r="A323" s="11" t="n">
        <v>322</v>
      </c>
      <c r="B323" s="11" t="s">
        <v>495</v>
      </c>
      <c r="C323" s="11" t="s">
        <v>41</v>
      </c>
      <c r="D323" s="11" t="s">
        <v>398</v>
      </c>
      <c r="E323" s="11"/>
      <c r="F323" s="11" t="s">
        <v>182</v>
      </c>
      <c r="G323" s="11" t="s">
        <v>183</v>
      </c>
      <c r="H323" s="11" t="s">
        <v>118</v>
      </c>
      <c r="I323" s="11" t="s">
        <v>184</v>
      </c>
      <c r="J323" s="11" t="s">
        <v>178</v>
      </c>
      <c r="K323" s="11" t="s">
        <v>48</v>
      </c>
      <c r="L323" s="12" t="s">
        <v>185</v>
      </c>
    </row>
    <row r="324" customFormat="false" ht="22.35" hidden="false" customHeight="false" outlineLevel="0" collapsed="false">
      <c r="A324" s="11" t="n">
        <v>323</v>
      </c>
      <c r="B324" s="11" t="s">
        <v>495</v>
      </c>
      <c r="C324" s="11" t="s">
        <v>41</v>
      </c>
      <c r="D324" s="11" t="s">
        <v>398</v>
      </c>
      <c r="E324" s="11"/>
      <c r="F324" s="11" t="s">
        <v>187</v>
      </c>
      <c r="G324" s="11" t="s">
        <v>188</v>
      </c>
      <c r="H324" s="11" t="s">
        <v>189</v>
      </c>
      <c r="I324" s="11" t="s">
        <v>190</v>
      </c>
      <c r="J324" s="11" t="s">
        <v>191</v>
      </c>
      <c r="K324" s="11" t="s">
        <v>48</v>
      </c>
      <c r="L324" s="12" t="s">
        <v>192</v>
      </c>
    </row>
    <row r="325" customFormat="false" ht="22.35" hidden="false" customHeight="false" outlineLevel="0" collapsed="false">
      <c r="A325" s="11" t="n">
        <v>324</v>
      </c>
      <c r="B325" s="11" t="s">
        <v>495</v>
      </c>
      <c r="C325" s="11" t="s">
        <v>41</v>
      </c>
      <c r="D325" s="11" t="s">
        <v>398</v>
      </c>
      <c r="E325" s="11"/>
      <c r="F325" s="11" t="s">
        <v>187</v>
      </c>
      <c r="G325" s="11" t="s">
        <v>188</v>
      </c>
      <c r="H325" s="11" t="s">
        <v>189</v>
      </c>
      <c r="I325" s="11" t="s">
        <v>190</v>
      </c>
      <c r="J325" s="11" t="s">
        <v>191</v>
      </c>
      <c r="K325" s="11" t="s">
        <v>48</v>
      </c>
      <c r="L325" s="12" t="s">
        <v>192</v>
      </c>
    </row>
    <row r="326" customFormat="false" ht="22.35" hidden="false" customHeight="false" outlineLevel="0" collapsed="false">
      <c r="A326" s="11" t="n">
        <v>325</v>
      </c>
      <c r="B326" s="11" t="s">
        <v>495</v>
      </c>
      <c r="C326" s="11" t="s">
        <v>41</v>
      </c>
      <c r="D326" s="11" t="s">
        <v>398</v>
      </c>
      <c r="E326" s="11"/>
      <c r="F326" s="11" t="s">
        <v>193</v>
      </c>
      <c r="G326" s="11" t="s">
        <v>925</v>
      </c>
      <c r="H326" s="11" t="s">
        <v>60</v>
      </c>
      <c r="I326" s="11" t="s">
        <v>195</v>
      </c>
      <c r="J326" s="11" t="s">
        <v>196</v>
      </c>
      <c r="K326" s="11" t="s">
        <v>48</v>
      </c>
      <c r="L326" s="12" t="s">
        <v>197</v>
      </c>
    </row>
    <row r="327" customFormat="false" ht="22.35" hidden="false" customHeight="false" outlineLevel="0" collapsed="false">
      <c r="A327" s="11" t="n">
        <v>326</v>
      </c>
      <c r="B327" s="11" t="s">
        <v>495</v>
      </c>
      <c r="C327" s="11" t="s">
        <v>41</v>
      </c>
      <c r="D327" s="11" t="s">
        <v>398</v>
      </c>
      <c r="E327" s="11"/>
      <c r="F327" s="11" t="s">
        <v>158</v>
      </c>
      <c r="G327" s="11" t="s">
        <v>159</v>
      </c>
      <c r="H327" s="11" t="s">
        <v>198</v>
      </c>
      <c r="I327" s="11" t="s">
        <v>160</v>
      </c>
      <c r="J327" s="11" t="s">
        <v>199</v>
      </c>
      <c r="K327" s="11" t="s">
        <v>200</v>
      </c>
      <c r="L327" s="12" t="s">
        <v>201</v>
      </c>
    </row>
    <row r="328" customFormat="false" ht="22.35" hidden="false" customHeight="false" outlineLevel="0" collapsed="false">
      <c r="A328" s="11" t="n">
        <v>327</v>
      </c>
      <c r="B328" s="11" t="s">
        <v>495</v>
      </c>
      <c r="C328" s="11" t="s">
        <v>41</v>
      </c>
      <c r="D328" s="11" t="s">
        <v>398</v>
      </c>
      <c r="E328" s="11"/>
      <c r="F328" s="11" t="s">
        <v>203</v>
      </c>
      <c r="G328" s="11" t="s">
        <v>204</v>
      </c>
      <c r="H328" s="11" t="s">
        <v>118</v>
      </c>
      <c r="I328" s="11" t="s">
        <v>205</v>
      </c>
      <c r="J328" s="11" t="s">
        <v>206</v>
      </c>
      <c r="K328" s="11" t="s">
        <v>48</v>
      </c>
      <c r="L328" s="12" t="s">
        <v>207</v>
      </c>
    </row>
    <row r="329" customFormat="false" ht="22.35" hidden="false" customHeight="false" outlineLevel="0" collapsed="false">
      <c r="A329" s="11" t="n">
        <v>328</v>
      </c>
      <c r="B329" s="11" t="s">
        <v>495</v>
      </c>
      <c r="C329" s="11" t="s">
        <v>41</v>
      </c>
      <c r="D329" s="11" t="s">
        <v>398</v>
      </c>
      <c r="E329" s="11"/>
      <c r="F329" s="11" t="s">
        <v>203</v>
      </c>
      <c r="G329" s="11" t="s">
        <v>204</v>
      </c>
      <c r="H329" s="11" t="s">
        <v>118</v>
      </c>
      <c r="I329" s="11" t="s">
        <v>205</v>
      </c>
      <c r="J329" s="11" t="s">
        <v>206</v>
      </c>
      <c r="K329" s="11" t="s">
        <v>48</v>
      </c>
      <c r="L329" s="12" t="s">
        <v>207</v>
      </c>
    </row>
    <row r="330" customFormat="false" ht="22.35" hidden="false" customHeight="false" outlineLevel="0" collapsed="false">
      <c r="A330" s="11" t="n">
        <v>329</v>
      </c>
      <c r="B330" s="11" t="s">
        <v>495</v>
      </c>
      <c r="C330" s="11" t="s">
        <v>41</v>
      </c>
      <c r="D330" s="11" t="s">
        <v>398</v>
      </c>
      <c r="E330" s="11"/>
      <c r="F330" s="11" t="s">
        <v>214</v>
      </c>
      <c r="G330" s="11" t="s">
        <v>215</v>
      </c>
      <c r="H330" s="11" t="s">
        <v>216</v>
      </c>
      <c r="I330" s="11" t="s">
        <v>217</v>
      </c>
      <c r="J330" s="11" t="s">
        <v>218</v>
      </c>
      <c r="K330" s="11" t="s">
        <v>48</v>
      </c>
      <c r="L330" s="12" t="s">
        <v>219</v>
      </c>
    </row>
    <row r="331" customFormat="false" ht="22.35" hidden="false" customHeight="false" outlineLevel="0" collapsed="false">
      <c r="A331" s="11" t="n">
        <v>330</v>
      </c>
      <c r="B331" s="11" t="s">
        <v>495</v>
      </c>
      <c r="C331" s="11" t="s">
        <v>41</v>
      </c>
      <c r="D331" s="11" t="s">
        <v>398</v>
      </c>
      <c r="E331" s="11"/>
      <c r="F331" s="11"/>
      <c r="G331" s="11" t="s">
        <v>926</v>
      </c>
      <c r="H331" s="11" t="s">
        <v>325</v>
      </c>
      <c r="I331" s="11" t="s">
        <v>927</v>
      </c>
      <c r="J331" s="11" t="s">
        <v>928</v>
      </c>
      <c r="K331" s="11" t="s">
        <v>48</v>
      </c>
      <c r="L331" s="12" t="s">
        <v>929</v>
      </c>
    </row>
    <row r="332" customFormat="false" ht="22.35" hidden="false" customHeight="false" outlineLevel="0" collapsed="false">
      <c r="A332" s="11" t="n">
        <v>331</v>
      </c>
      <c r="B332" s="11" t="s">
        <v>495</v>
      </c>
      <c r="C332" s="11" t="s">
        <v>41</v>
      </c>
      <c r="D332" s="11" t="s">
        <v>398</v>
      </c>
      <c r="E332" s="11"/>
      <c r="F332" s="11" t="s">
        <v>105</v>
      </c>
      <c r="G332" s="11" t="s">
        <v>106</v>
      </c>
      <c r="H332" s="11" t="s">
        <v>107</v>
      </c>
      <c r="I332" s="11" t="s">
        <v>108</v>
      </c>
      <c r="J332" s="11" t="s">
        <v>109</v>
      </c>
      <c r="K332" s="11" t="s">
        <v>48</v>
      </c>
      <c r="L332" s="12" t="s">
        <v>110</v>
      </c>
    </row>
    <row r="333" customFormat="false" ht="22.35" hidden="false" customHeight="false" outlineLevel="0" collapsed="false">
      <c r="A333" s="11" t="n">
        <v>332</v>
      </c>
      <c r="B333" s="11" t="s">
        <v>495</v>
      </c>
      <c r="C333" s="11" t="s">
        <v>41</v>
      </c>
      <c r="D333" s="11" t="s">
        <v>398</v>
      </c>
      <c r="E333" s="11"/>
      <c r="F333" s="11"/>
      <c r="G333" s="11" t="s">
        <v>930</v>
      </c>
      <c r="H333" s="11" t="s">
        <v>189</v>
      </c>
      <c r="I333" s="11" t="s">
        <v>931</v>
      </c>
      <c r="J333" s="11" t="s">
        <v>932</v>
      </c>
      <c r="K333" s="11" t="s">
        <v>92</v>
      </c>
      <c r="L333" s="12" t="s">
        <v>933</v>
      </c>
    </row>
    <row r="334" customFormat="false" ht="22.35" hidden="false" customHeight="false" outlineLevel="0" collapsed="false">
      <c r="A334" s="11" t="n">
        <v>333</v>
      </c>
      <c r="B334" s="11" t="s">
        <v>495</v>
      </c>
      <c r="C334" s="11" t="s">
        <v>41</v>
      </c>
      <c r="D334" s="11" t="s">
        <v>398</v>
      </c>
      <c r="E334" s="11"/>
      <c r="F334" s="11" t="s">
        <v>406</v>
      </c>
      <c r="G334" s="11" t="s">
        <v>407</v>
      </c>
      <c r="H334" s="11" t="s">
        <v>189</v>
      </c>
      <c r="I334" s="11" t="s">
        <v>408</v>
      </c>
      <c r="J334" s="11" t="s">
        <v>47</v>
      </c>
      <c r="K334" s="11" t="s">
        <v>254</v>
      </c>
      <c r="L334" s="12" t="s">
        <v>409</v>
      </c>
    </row>
    <row r="335" customFormat="false" ht="22.35" hidden="false" customHeight="false" outlineLevel="0" collapsed="false">
      <c r="A335" s="11" t="n">
        <v>334</v>
      </c>
      <c r="B335" s="11" t="s">
        <v>495</v>
      </c>
      <c r="C335" s="11" t="s">
        <v>41</v>
      </c>
      <c r="D335" s="11" t="s">
        <v>398</v>
      </c>
      <c r="E335" s="11"/>
      <c r="F335" s="11"/>
      <c r="G335" s="11" t="s">
        <v>791</v>
      </c>
      <c r="H335" s="11" t="s">
        <v>934</v>
      </c>
      <c r="I335" s="11" t="s">
        <v>935</v>
      </c>
      <c r="J335" s="11" t="s">
        <v>791</v>
      </c>
      <c r="K335" s="11" t="s">
        <v>936</v>
      </c>
      <c r="L335" s="11"/>
    </row>
    <row r="336" customFormat="false" ht="22.35" hidden="false" customHeight="false" outlineLevel="0" collapsed="false">
      <c r="A336" s="11" t="n">
        <v>335</v>
      </c>
      <c r="B336" s="11" t="s">
        <v>495</v>
      </c>
      <c r="C336" s="11" t="s">
        <v>41</v>
      </c>
      <c r="D336" s="11" t="s">
        <v>398</v>
      </c>
      <c r="E336" s="11"/>
      <c r="F336" s="11"/>
      <c r="G336" s="11" t="s">
        <v>791</v>
      </c>
      <c r="H336" s="11" t="s">
        <v>69</v>
      </c>
      <c r="I336" s="11" t="s">
        <v>937</v>
      </c>
      <c r="J336" s="11" t="s">
        <v>791</v>
      </c>
      <c r="K336" s="11" t="s">
        <v>936</v>
      </c>
      <c r="L336" s="11"/>
    </row>
    <row r="337" customFormat="false" ht="22.35" hidden="false" customHeight="false" outlineLevel="0" collapsed="false">
      <c r="A337" s="11" t="n">
        <v>336</v>
      </c>
      <c r="B337" s="11" t="s">
        <v>495</v>
      </c>
      <c r="C337" s="11" t="s">
        <v>41</v>
      </c>
      <c r="D337" s="11" t="s">
        <v>398</v>
      </c>
      <c r="E337" s="11"/>
      <c r="F337" s="11"/>
      <c r="G337" s="11" t="s">
        <v>938</v>
      </c>
      <c r="H337" s="11" t="s">
        <v>325</v>
      </c>
      <c r="I337" s="11" t="s">
        <v>939</v>
      </c>
      <c r="J337" s="11" t="s">
        <v>940</v>
      </c>
      <c r="K337" s="11" t="s">
        <v>48</v>
      </c>
      <c r="L337" s="12" t="s">
        <v>941</v>
      </c>
    </row>
    <row r="338" customFormat="false" ht="22.35" hidden="false" customHeight="false" outlineLevel="0" collapsed="false">
      <c r="A338" s="11" t="n">
        <v>337</v>
      </c>
      <c r="B338" s="11" t="s">
        <v>495</v>
      </c>
      <c r="C338" s="11" t="s">
        <v>41</v>
      </c>
      <c r="D338" s="11" t="s">
        <v>398</v>
      </c>
      <c r="E338" s="11"/>
      <c r="F338" s="11"/>
      <c r="G338" s="11" t="s">
        <v>750</v>
      </c>
      <c r="H338" s="11" t="s">
        <v>118</v>
      </c>
      <c r="I338" s="11" t="s">
        <v>751</v>
      </c>
      <c r="J338" s="11"/>
      <c r="K338" s="11" t="s">
        <v>752</v>
      </c>
      <c r="L338" s="11"/>
    </row>
    <row r="339" customFormat="false" ht="22.35" hidden="false" customHeight="false" outlineLevel="0" collapsed="false">
      <c r="A339" s="11" t="n">
        <v>338</v>
      </c>
      <c r="B339" s="11" t="s">
        <v>495</v>
      </c>
      <c r="C339" s="11" t="s">
        <v>41</v>
      </c>
      <c r="D339" s="11" t="s">
        <v>398</v>
      </c>
      <c r="E339" s="11"/>
      <c r="F339" s="11"/>
      <c r="G339" s="11" t="s">
        <v>750</v>
      </c>
      <c r="H339" s="11" t="s">
        <v>515</v>
      </c>
      <c r="I339" s="11" t="s">
        <v>751</v>
      </c>
      <c r="J339" s="11"/>
      <c r="K339" s="11" t="s">
        <v>752</v>
      </c>
      <c r="L339" s="11"/>
    </row>
    <row r="340" customFormat="false" ht="43.25" hidden="false" customHeight="false" outlineLevel="0" collapsed="false">
      <c r="A340" s="11" t="n">
        <v>339</v>
      </c>
      <c r="B340" s="11" t="s">
        <v>495</v>
      </c>
      <c r="C340" s="11" t="s">
        <v>41</v>
      </c>
      <c r="D340" s="11" t="s">
        <v>398</v>
      </c>
      <c r="E340" s="11"/>
      <c r="F340" s="11"/>
      <c r="G340" s="11" t="s">
        <v>942</v>
      </c>
      <c r="H340" s="11" t="s">
        <v>107</v>
      </c>
      <c r="I340" s="11" t="s">
        <v>943</v>
      </c>
      <c r="J340" s="11" t="s">
        <v>944</v>
      </c>
      <c r="K340" s="11" t="s">
        <v>48</v>
      </c>
      <c r="L340" s="11"/>
    </row>
    <row r="341" customFormat="false" ht="22.35" hidden="false" customHeight="false" outlineLevel="0" collapsed="false">
      <c r="A341" s="11" t="n">
        <v>340</v>
      </c>
      <c r="B341" s="11" t="s">
        <v>495</v>
      </c>
      <c r="C341" s="11" t="s">
        <v>41</v>
      </c>
      <c r="D341" s="11" t="s">
        <v>398</v>
      </c>
      <c r="E341" s="11"/>
      <c r="F341" s="11" t="s">
        <v>225</v>
      </c>
      <c r="G341" s="11" t="s">
        <v>226</v>
      </c>
      <c r="H341" s="11" t="s">
        <v>107</v>
      </c>
      <c r="I341" s="11" t="s">
        <v>227</v>
      </c>
      <c r="J341" s="11" t="s">
        <v>228</v>
      </c>
      <c r="K341" s="11" t="s">
        <v>48</v>
      </c>
      <c r="L341" s="12" t="s">
        <v>229</v>
      </c>
    </row>
    <row r="342" customFormat="false" ht="22.35" hidden="false" customHeight="false" outlineLevel="0" collapsed="false">
      <c r="A342" s="11" t="n">
        <v>341</v>
      </c>
      <c r="B342" s="11" t="s">
        <v>495</v>
      </c>
      <c r="C342" s="11" t="s">
        <v>41</v>
      </c>
      <c r="D342" s="11" t="s">
        <v>398</v>
      </c>
      <c r="E342" s="11"/>
      <c r="F342" s="11" t="s">
        <v>230</v>
      </c>
      <c r="G342" s="11" t="s">
        <v>231</v>
      </c>
      <c r="H342" s="11" t="s">
        <v>45</v>
      </c>
      <c r="I342" s="11" t="s">
        <v>232</v>
      </c>
      <c r="J342" s="11" t="s">
        <v>233</v>
      </c>
      <c r="K342" s="11" t="s">
        <v>48</v>
      </c>
      <c r="L342" s="12" t="s">
        <v>234</v>
      </c>
    </row>
    <row r="343" customFormat="false" ht="22.35" hidden="false" customHeight="false" outlineLevel="0" collapsed="false">
      <c r="A343" s="11" t="n">
        <v>342</v>
      </c>
      <c r="B343" s="11" t="s">
        <v>495</v>
      </c>
      <c r="C343" s="11" t="s">
        <v>41</v>
      </c>
      <c r="D343" s="11" t="s">
        <v>398</v>
      </c>
      <c r="E343" s="11"/>
      <c r="F343" s="11" t="s">
        <v>236</v>
      </c>
      <c r="G343" s="11" t="s">
        <v>945</v>
      </c>
      <c r="H343" s="11" t="s">
        <v>135</v>
      </c>
      <c r="I343" s="11" t="s">
        <v>238</v>
      </c>
      <c r="J343" s="11" t="s">
        <v>239</v>
      </c>
      <c r="K343" s="11" t="s">
        <v>48</v>
      </c>
      <c r="L343" s="12" t="s">
        <v>240</v>
      </c>
    </row>
    <row r="344" customFormat="false" ht="22.35" hidden="false" customHeight="false" outlineLevel="0" collapsed="false">
      <c r="A344" s="11" t="n">
        <v>343</v>
      </c>
      <c r="B344" s="11" t="s">
        <v>495</v>
      </c>
      <c r="C344" s="11" t="s">
        <v>41</v>
      </c>
      <c r="D344" s="11" t="s">
        <v>398</v>
      </c>
      <c r="E344" s="11"/>
      <c r="F344" s="11" t="s">
        <v>236</v>
      </c>
      <c r="G344" s="11" t="s">
        <v>945</v>
      </c>
      <c r="H344" s="11" t="s">
        <v>135</v>
      </c>
      <c r="I344" s="11" t="s">
        <v>238</v>
      </c>
      <c r="J344" s="11" t="s">
        <v>239</v>
      </c>
      <c r="K344" s="11" t="s">
        <v>48</v>
      </c>
      <c r="L344" s="12" t="s">
        <v>240</v>
      </c>
    </row>
    <row r="345" customFormat="false" ht="32.8" hidden="false" customHeight="false" outlineLevel="0" collapsed="false">
      <c r="A345" s="11" t="n">
        <v>344</v>
      </c>
      <c r="B345" s="11" t="s">
        <v>495</v>
      </c>
      <c r="C345" s="11" t="s">
        <v>41</v>
      </c>
      <c r="D345" s="11" t="s">
        <v>398</v>
      </c>
      <c r="E345" s="11"/>
      <c r="F345" s="11" t="s">
        <v>361</v>
      </c>
      <c r="G345" s="11" t="s">
        <v>362</v>
      </c>
      <c r="H345" s="11" t="s">
        <v>176</v>
      </c>
      <c r="I345" s="11" t="s">
        <v>363</v>
      </c>
      <c r="J345" s="11" t="s">
        <v>364</v>
      </c>
      <c r="K345" s="11" t="s">
        <v>48</v>
      </c>
      <c r="L345" s="12" t="s">
        <v>365</v>
      </c>
    </row>
    <row r="346" customFormat="false" ht="22.35" hidden="false" customHeight="false" outlineLevel="0" collapsed="false">
      <c r="A346" s="11" t="n">
        <v>345</v>
      </c>
      <c r="B346" s="11" t="s">
        <v>495</v>
      </c>
      <c r="C346" s="11" t="s">
        <v>41</v>
      </c>
      <c r="D346" s="11" t="s">
        <v>398</v>
      </c>
      <c r="E346" s="11"/>
      <c r="F346" s="11"/>
      <c r="G346" s="11" t="s">
        <v>946</v>
      </c>
      <c r="H346" s="11" t="s">
        <v>934</v>
      </c>
      <c r="I346" s="11" t="s">
        <v>947</v>
      </c>
      <c r="J346" s="11" t="s">
        <v>948</v>
      </c>
      <c r="K346" s="11" t="s">
        <v>48</v>
      </c>
      <c r="L346" s="12" t="s">
        <v>949</v>
      </c>
    </row>
    <row r="347" customFormat="false" ht="22.35" hidden="false" customHeight="false" outlineLevel="0" collapsed="false">
      <c r="A347" s="11" t="n">
        <v>346</v>
      </c>
      <c r="B347" s="11" t="s">
        <v>495</v>
      </c>
      <c r="C347" s="11" t="s">
        <v>41</v>
      </c>
      <c r="D347" s="11" t="s">
        <v>398</v>
      </c>
      <c r="E347" s="11"/>
      <c r="F347" s="11"/>
      <c r="G347" s="11" t="s">
        <v>950</v>
      </c>
      <c r="H347" s="11" t="s">
        <v>170</v>
      </c>
      <c r="I347" s="11" t="s">
        <v>951</v>
      </c>
      <c r="J347" s="11" t="s">
        <v>952</v>
      </c>
      <c r="K347" s="11" t="s">
        <v>48</v>
      </c>
      <c r="L347" s="11"/>
    </row>
    <row r="348" customFormat="false" ht="22.35" hidden="false" customHeight="false" outlineLevel="0" collapsed="false">
      <c r="A348" s="11" t="n">
        <v>347</v>
      </c>
      <c r="B348" s="11" t="s">
        <v>495</v>
      </c>
      <c r="C348" s="11" t="s">
        <v>41</v>
      </c>
      <c r="D348" s="11" t="s">
        <v>398</v>
      </c>
      <c r="E348" s="11"/>
      <c r="F348" s="11"/>
      <c r="G348" s="11" t="s">
        <v>953</v>
      </c>
      <c r="H348" s="11" t="s">
        <v>84</v>
      </c>
      <c r="I348" s="11" t="s">
        <v>954</v>
      </c>
      <c r="J348" s="11" t="s">
        <v>955</v>
      </c>
      <c r="K348" s="11" t="s">
        <v>48</v>
      </c>
      <c r="L348" s="12" t="s">
        <v>956</v>
      </c>
    </row>
    <row r="349" customFormat="false" ht="22.35" hidden="false" customHeight="false" outlineLevel="0" collapsed="false">
      <c r="A349" s="11" t="n">
        <v>348</v>
      </c>
      <c r="B349" s="11" t="s">
        <v>495</v>
      </c>
      <c r="C349" s="11" t="s">
        <v>41</v>
      </c>
      <c r="D349" s="11" t="s">
        <v>398</v>
      </c>
      <c r="E349" s="11"/>
      <c r="F349" s="11"/>
      <c r="G349" s="11" t="s">
        <v>957</v>
      </c>
      <c r="H349" s="11" t="s">
        <v>515</v>
      </c>
      <c r="I349" s="11" t="s">
        <v>958</v>
      </c>
      <c r="J349" s="11" t="s">
        <v>959</v>
      </c>
      <c r="K349" s="11" t="s">
        <v>960</v>
      </c>
      <c r="L349" s="11"/>
    </row>
    <row r="350" customFormat="false" ht="22.35" hidden="false" customHeight="false" outlineLevel="0" collapsed="false">
      <c r="A350" s="11" t="n">
        <v>349</v>
      </c>
      <c r="B350" s="11" t="s">
        <v>495</v>
      </c>
      <c r="C350" s="11" t="s">
        <v>41</v>
      </c>
      <c r="D350" s="11" t="s">
        <v>398</v>
      </c>
      <c r="E350" s="11"/>
      <c r="F350" s="11"/>
      <c r="G350" s="11" t="s">
        <v>961</v>
      </c>
      <c r="H350" s="11" t="s">
        <v>107</v>
      </c>
      <c r="I350" s="11" t="s">
        <v>962</v>
      </c>
      <c r="J350" s="11" t="s">
        <v>963</v>
      </c>
      <c r="K350" s="11" t="s">
        <v>48</v>
      </c>
      <c r="L350" s="12" t="s">
        <v>964</v>
      </c>
    </row>
    <row r="351" customFormat="false" ht="22.35" hidden="false" customHeight="false" outlineLevel="0" collapsed="false">
      <c r="A351" s="11" t="n">
        <v>350</v>
      </c>
      <c r="B351" s="11" t="s">
        <v>495</v>
      </c>
      <c r="C351" s="11" t="s">
        <v>41</v>
      </c>
      <c r="D351" s="11" t="s">
        <v>398</v>
      </c>
      <c r="E351" s="11"/>
      <c r="F351" s="11" t="s">
        <v>241</v>
      </c>
      <c r="G351" s="11" t="s">
        <v>242</v>
      </c>
      <c r="H351" s="11" t="s">
        <v>45</v>
      </c>
      <c r="I351" s="11" t="s">
        <v>243</v>
      </c>
      <c r="J351" s="11" t="s">
        <v>244</v>
      </c>
      <c r="K351" s="11" t="s">
        <v>48</v>
      </c>
      <c r="L351" s="12" t="s">
        <v>245</v>
      </c>
    </row>
    <row r="352" customFormat="false" ht="22.35" hidden="false" customHeight="false" outlineLevel="0" collapsed="false">
      <c r="A352" s="11" t="n">
        <v>351</v>
      </c>
      <c r="B352" s="11" t="s">
        <v>495</v>
      </c>
      <c r="C352" s="11" t="s">
        <v>41</v>
      </c>
      <c r="D352" s="11" t="s">
        <v>398</v>
      </c>
      <c r="E352" s="11"/>
      <c r="F352" s="11"/>
      <c r="G352" s="11" t="s">
        <v>965</v>
      </c>
      <c r="H352" s="11" t="s">
        <v>189</v>
      </c>
      <c r="I352" s="11" t="s">
        <v>966</v>
      </c>
      <c r="J352" s="11" t="s">
        <v>967</v>
      </c>
      <c r="K352" s="11" t="s">
        <v>48</v>
      </c>
      <c r="L352" s="12" t="s">
        <v>968</v>
      </c>
    </row>
    <row r="353" customFormat="false" ht="22.35" hidden="false" customHeight="false" outlineLevel="0" collapsed="false">
      <c r="A353" s="11" t="n">
        <v>352</v>
      </c>
      <c r="B353" s="11" t="s">
        <v>495</v>
      </c>
      <c r="C353" s="11" t="s">
        <v>41</v>
      </c>
      <c r="D353" s="11" t="s">
        <v>398</v>
      </c>
      <c r="E353" s="11"/>
      <c r="F353" s="11" t="s">
        <v>246</v>
      </c>
      <c r="G353" s="11" t="s">
        <v>247</v>
      </c>
      <c r="H353" s="11" t="s">
        <v>176</v>
      </c>
      <c r="I353" s="11" t="s">
        <v>248</v>
      </c>
      <c r="J353" s="11" t="s">
        <v>191</v>
      </c>
      <c r="K353" s="11" t="s">
        <v>48</v>
      </c>
      <c r="L353" s="12" t="s">
        <v>249</v>
      </c>
    </row>
    <row r="354" customFormat="false" ht="22.35" hidden="false" customHeight="false" outlineLevel="0" collapsed="false">
      <c r="A354" s="11" t="n">
        <v>353</v>
      </c>
      <c r="B354" s="11" t="s">
        <v>495</v>
      </c>
      <c r="C354" s="11" t="s">
        <v>41</v>
      </c>
      <c r="D354" s="11" t="s">
        <v>398</v>
      </c>
      <c r="E354" s="11"/>
      <c r="F354" s="11" t="s">
        <v>371</v>
      </c>
      <c r="G354" s="11" t="s">
        <v>372</v>
      </c>
      <c r="H354" s="11" t="s">
        <v>45</v>
      </c>
      <c r="I354" s="11" t="s">
        <v>373</v>
      </c>
      <c r="J354" s="11" t="s">
        <v>374</v>
      </c>
      <c r="K354" s="11" t="s">
        <v>254</v>
      </c>
      <c r="L354" s="12" t="s">
        <v>375</v>
      </c>
    </row>
    <row r="355" customFormat="false" ht="22.35" hidden="false" customHeight="false" outlineLevel="0" collapsed="false">
      <c r="A355" s="11" t="n">
        <v>354</v>
      </c>
      <c r="B355" s="11" t="s">
        <v>495</v>
      </c>
      <c r="C355" s="11" t="s">
        <v>41</v>
      </c>
      <c r="D355" s="11" t="s">
        <v>398</v>
      </c>
      <c r="E355" s="11"/>
      <c r="F355" s="11"/>
      <c r="G355" s="11" t="s">
        <v>969</v>
      </c>
      <c r="H355" s="11" t="s">
        <v>60</v>
      </c>
      <c r="I355" s="11" t="s">
        <v>970</v>
      </c>
      <c r="J355" s="11" t="s">
        <v>971</v>
      </c>
      <c r="K355" s="11" t="s">
        <v>48</v>
      </c>
      <c r="L355" s="12" t="s">
        <v>972</v>
      </c>
    </row>
    <row r="356" customFormat="false" ht="22.35" hidden="false" customHeight="false" outlineLevel="0" collapsed="false">
      <c r="A356" s="11" t="n">
        <v>355</v>
      </c>
      <c r="B356" s="11" t="s">
        <v>495</v>
      </c>
      <c r="C356" s="11" t="s">
        <v>41</v>
      </c>
      <c r="D356" s="11" t="s">
        <v>398</v>
      </c>
      <c r="E356" s="11"/>
      <c r="F356" s="11" t="s">
        <v>250</v>
      </c>
      <c r="G356" s="11" t="s">
        <v>973</v>
      </c>
      <c r="H356" s="11" t="s">
        <v>107</v>
      </c>
      <c r="I356" s="11" t="s">
        <v>252</v>
      </c>
      <c r="J356" s="11" t="s">
        <v>253</v>
      </c>
      <c r="K356" s="11" t="s">
        <v>254</v>
      </c>
      <c r="L356" s="12" t="s">
        <v>255</v>
      </c>
    </row>
    <row r="357" customFormat="false" ht="22.35" hidden="false" customHeight="false" outlineLevel="0" collapsed="false">
      <c r="A357" s="11" t="n">
        <v>356</v>
      </c>
      <c r="B357" s="11" t="s">
        <v>495</v>
      </c>
      <c r="C357" s="11" t="s">
        <v>41</v>
      </c>
      <c r="D357" s="11" t="s">
        <v>398</v>
      </c>
      <c r="E357" s="11"/>
      <c r="F357" s="11"/>
      <c r="G357" s="11" t="s">
        <v>974</v>
      </c>
      <c r="H357" s="11" t="s">
        <v>84</v>
      </c>
      <c r="I357" s="11" t="s">
        <v>975</v>
      </c>
      <c r="J357" s="11" t="s">
        <v>47</v>
      </c>
      <c r="K357" s="11" t="s">
        <v>48</v>
      </c>
      <c r="L357" s="12" t="s">
        <v>976</v>
      </c>
    </row>
    <row r="358" customFormat="false" ht="22.35" hidden="false" customHeight="false" outlineLevel="0" collapsed="false">
      <c r="A358" s="11" t="n">
        <v>357</v>
      </c>
      <c r="B358" s="11" t="s">
        <v>495</v>
      </c>
      <c r="C358" s="11" t="s">
        <v>41</v>
      </c>
      <c r="D358" s="11" t="s">
        <v>398</v>
      </c>
      <c r="E358" s="11"/>
      <c r="F358" s="11"/>
      <c r="G358" s="11" t="s">
        <v>977</v>
      </c>
      <c r="H358" s="11" t="s">
        <v>45</v>
      </c>
      <c r="I358" s="11" t="s">
        <v>978</v>
      </c>
      <c r="J358" s="11" t="s">
        <v>979</v>
      </c>
      <c r="K358" s="11" t="s">
        <v>48</v>
      </c>
      <c r="L358" s="12" t="s">
        <v>980</v>
      </c>
    </row>
    <row r="359" customFormat="false" ht="22.35" hidden="false" customHeight="false" outlineLevel="0" collapsed="false">
      <c r="A359" s="11" t="n">
        <v>358</v>
      </c>
      <c r="B359" s="11" t="s">
        <v>495</v>
      </c>
      <c r="C359" s="11" t="s">
        <v>41</v>
      </c>
      <c r="D359" s="11" t="s">
        <v>398</v>
      </c>
      <c r="E359" s="11"/>
      <c r="F359" s="11"/>
      <c r="G359" s="11" t="s">
        <v>981</v>
      </c>
      <c r="H359" s="11" t="s">
        <v>189</v>
      </c>
      <c r="I359" s="11" t="s">
        <v>982</v>
      </c>
      <c r="J359" s="11" t="s">
        <v>321</v>
      </c>
      <c r="K359" s="11" t="s">
        <v>48</v>
      </c>
      <c r="L359" s="12" t="s">
        <v>983</v>
      </c>
    </row>
    <row r="360" customFormat="false" ht="22.35" hidden="false" customHeight="false" outlineLevel="0" collapsed="false">
      <c r="A360" s="11" t="n">
        <v>359</v>
      </c>
      <c r="B360" s="11" t="s">
        <v>495</v>
      </c>
      <c r="C360" s="11" t="s">
        <v>41</v>
      </c>
      <c r="D360" s="11" t="s">
        <v>398</v>
      </c>
      <c r="E360" s="11"/>
      <c r="F360" s="11"/>
      <c r="G360" s="11" t="s">
        <v>984</v>
      </c>
      <c r="H360" s="11" t="s">
        <v>84</v>
      </c>
      <c r="I360" s="11" t="s">
        <v>985</v>
      </c>
      <c r="J360" s="11" t="s">
        <v>178</v>
      </c>
      <c r="K360" s="11" t="s">
        <v>48</v>
      </c>
      <c r="L360" s="12" t="s">
        <v>986</v>
      </c>
    </row>
  </sheetData>
  <hyperlinks>
    <hyperlink ref="L2" r:id="rId1" display="https://doi.org/10.1016/j.cose.2025.104624"/>
    <hyperlink ref="L3" r:id="rId2" display="https://doi.org/10.1016/j.gfs.2012.10.006"/>
    <hyperlink ref="L4" r:id="rId3" display="https://doi.org/10.1016/j.gfs.2012.10.006"/>
    <hyperlink ref="L5" r:id="rId4" display="https://doi.org/10.1016/j.gfs.2017.06.003"/>
    <hyperlink ref="L6" r:id="rId5" display="https://doi.org/10.1016/j.gfs.2017.07.001"/>
    <hyperlink ref="L7" r:id="rId6" display="https://doi.org/10.1016/j.jjcc.2010.11.001"/>
    <hyperlink ref="L8" r:id="rId7" display="https://doi.org/10.1016/j.procs.2019.09.459"/>
    <hyperlink ref="L9" r:id="rId8" display="https://doi.org/10.1145/3418172"/>
    <hyperlink ref="L10" r:id="rId9" display="https://doi.org/10.1145/3774761.3774773"/>
    <hyperlink ref="L11" r:id="rId10" display="https://doi.org/10.1016/j.rineng.2025.108557"/>
    <hyperlink ref="L12" r:id="rId11" display="https://doi.org/10.1177/21582440251399038"/>
    <hyperlink ref="L13" r:id="rId12" display="https://doi.org/10.1177/21582440251399038"/>
    <hyperlink ref="L14" r:id="rId13" display="https://doi.org/10.1080/19393555.2021.1922786"/>
    <hyperlink ref="L15" r:id="rId14" display="https://doi.org/10.3390/app122111174"/>
    <hyperlink ref="L16" r:id="rId15" display="https://doi.org/10.3390/bdcc10040129"/>
    <hyperlink ref="L17" r:id="rId16" display="https://doi.org/10.1061/(ASCE)1076-0342(2008)14:3(169)"/>
    <hyperlink ref="L18" r:id="rId17" display="https://doi.org/10.1016/j.ijcip.2025.100805"/>
    <hyperlink ref="L19" r:id="rId18" display="https://doi.org/10.3390/foods13142272"/>
    <hyperlink ref="L20" r:id="rId19" display="https://doi.org/10.3389/fsufs.2026.1726650"/>
    <hyperlink ref="L21" r:id="rId20" display="https://doi.org/10.3390/fi17090384"/>
    <hyperlink ref="L22" r:id="rId21" display="https://doi.org/10.1017/S0260210515000352"/>
    <hyperlink ref="L24" r:id="rId22" display="https://doi.org/10.1108/IMDS-02-2025-0203"/>
    <hyperlink ref="L25" r:id="rId23" display="https://doi.org/10.1109/ICCET.2009.218"/>
    <hyperlink ref="L26" r:id="rId24" display="https://doi.org/10.3390/jcp3030017"/>
    <hyperlink ref="L27" r:id="rId25" display="https://doi.org/10.3390/jcp6020067"/>
    <hyperlink ref="L28" r:id="rId26" display="https://doi.org/10.3390/su12062481"/>
    <hyperlink ref="L29" r:id="rId27" display="https://doi.org/10.3390/su12062481"/>
    <hyperlink ref="L30" r:id="rId28" display="https://doi.org/10.1186/s13023-017-0603-7"/>
    <hyperlink ref="L31" r:id="rId29" display="https://doi.org/10.1007/978-3-319-76354-5_20"/>
    <hyperlink ref="L32" r:id="rId30" display="https://doi.org/10.3390/math14091425"/>
    <hyperlink ref="L33" r:id="rId31" display="https://doi.org/10.3390/math14091425"/>
    <hyperlink ref="L34" r:id="rId32" display="https://doi.org/10.1109/ICT4DA53266.2021.9672221"/>
    <hyperlink ref="L35" r:id="rId33" display="https://doi.org/10.1080/09662839.2013.856308"/>
    <hyperlink ref="L36" r:id="rId34" display="https://journal.bit.edu.cn/sk/article/id/20090318"/>
    <hyperlink ref="L37" r:id="rId35" display="https://doi.org/10.1007/s00267-022-01606-x"/>
    <hyperlink ref="L38" r:id="rId36" display="https://doi.org/10.1007/s10207-025-01097-x"/>
    <hyperlink ref="L39" r:id="rId37" display="https://doi.org/10.1007/s10668-024-04472-1"/>
    <hyperlink ref="L40" r:id="rId38" display="https://doi.org/10.1007/s10668-024-04472-1"/>
    <hyperlink ref="L41" r:id="rId39" display="https://doi.org/10.3390/s25237384"/>
    <hyperlink ref="L42" r:id="rId40" display="https://doi.org/10.3390/su151914574"/>
    <hyperlink ref="L43" r:id="rId41" display="https://doi.org/10.1038/s43016-022-00571-2"/>
    <hyperlink ref="L44" r:id="rId42" display="https://doi.org/10.1590/2318-0331.312620250160"/>
    <hyperlink ref="L45" r:id="rId43" display="https://doi.org/10.1590/2318-0331.312620250160"/>
    <hyperlink ref="L46" r:id="rId44" display="https://doi.org/10.1002/widm.70013"/>
    <hyperlink ref="L47" r:id="rId45" display="https://doi.org/10.1080/07366980701394229"/>
    <hyperlink ref="L48" r:id="rId46" display="https://doi.org/10.1108/09685221011079180"/>
    <hyperlink ref="L49" r:id="rId47" display="https://doi.org/10.1108/09685221011079180"/>
    <hyperlink ref="L50" r:id="rId48" display="https://doi.org/10.1108/09685221011079180"/>
    <hyperlink ref="L51" r:id="rId49" display="https://doi.org/10.1016/j.procs.2019.09.459"/>
    <hyperlink ref="L52" r:id="rId50" display="https://doi.org/10.1145/1655168.1655170"/>
    <hyperlink ref="L53" r:id="rId51" display="https://www.researchgate.net/publication/362062670"/>
    <hyperlink ref="L55" r:id="rId52" display="https://doi.org/10.51594/csitrj.v6i11.2164"/>
    <hyperlink ref="L56" r:id="rId53" display="https://doi.org/10.1145/3418172"/>
    <hyperlink ref="L57" r:id="rId54" display="https://doi.org/10.1145/3774761.3774773"/>
    <hyperlink ref="L58" r:id="rId55" display="https://doi.org/10.3390/app122111174"/>
    <hyperlink ref="L59" r:id="rId56" display="https://doi.org/10.51594/csitrj.v6i11.2164"/>
    <hyperlink ref="L60" r:id="rId57" display="https://doi.org/10.1109/ISTAFRICA.2016.7530578"/>
    <hyperlink ref="L61" r:id="rId58" display="https://cppj.info/2023-2/n1/CPPJv2n1p38.html"/>
    <hyperlink ref="L62" r:id="rId59" display="https://www.researchgate.net/publication/362062670"/>
    <hyperlink ref="L63" r:id="rId60" display="https://doi.org/10.1108/ICS-08-2021-0112"/>
    <hyperlink ref="L64" r:id="rId61" display="https://ieeexplore.ieee.org/document/5967301"/>
    <hyperlink ref="L65" r:id="rId62" display="https://doi.org/10.2478/v10143-009-0014-x"/>
    <hyperlink ref="L66" r:id="rId63" display="https://doi.org/10.1109/ACOSIS.2016.7843921"/>
    <hyperlink ref="L67" r:id="rId64" display="https://doi.org/10.1016/j.infsof.2014.10.003"/>
    <hyperlink ref="L68" r:id="rId65" display="https://doi.org/10.1016/j.infsof.2014.10.003"/>
    <hyperlink ref="L69" r:id="rId66" display="https://doi.org/10.3390/jcp3030017"/>
    <hyperlink ref="L70" r:id="rId67" display="https://doi.org/10.4225/75/57b4040530dec"/>
    <hyperlink ref="L71" r:id="rId68" display="https://doi.org/10.1371/journal.pone.0163050"/>
    <hyperlink ref="L72" r:id="rId69" display="https://doi.org/10.1109/ISTAS.2015.7439415"/>
    <hyperlink ref="L73" r:id="rId70" display="https://doi.org/10.1007/s10207-025-01097-x"/>
    <hyperlink ref="L74" r:id="rId71" display="https://doi.org/10.1007/s10796-022-10246-9"/>
    <hyperlink ref="L75" r:id="rId72" display="https://doi.org/10.65025/ICAIC25019n"/>
    <hyperlink ref="L76" r:id="rId73" display="https://doi.org/10.3390/systems13010052"/>
    <hyperlink ref="L77" r:id="rId74" display="https://owenpress.com/"/>
    <hyperlink ref="L78" r:id="rId75" display="https://hazeneditions.com/index.php/ARFESM/article/view/Gomez2025"/>
    <hyperlink ref="L79" r:id="rId76" display="https://doi.org/10.12732/ijam.v38i10s.1139"/>
    <hyperlink ref="L80" r:id="rId77" display="https://doi.org/10.63125/4qpdpf28"/>
    <hyperlink ref="L81" r:id="rId78" display="https://doi.org/10.1016/j.gfs.2017.06.003"/>
    <hyperlink ref="L84" r:id="rId79" display="https://doi.org/10.1016/j.cose.2020.102030"/>
    <hyperlink ref="L85" r:id="rId80" display="https://doi.org/10.1201/9780429436536"/>
    <hyperlink ref="L90" r:id="rId81" display="https://doi.org/10.3390/foods13142272"/>
    <hyperlink ref="L91" r:id="rId82" display="https://doi.org/10.1108/IMDS-02-2025-0203"/>
    <hyperlink ref="L92" r:id="rId83" display="https://doi.org/10.1016/j.infsof.2014.10.003"/>
    <hyperlink ref="L93" r:id="rId84" display="https://doi.org/10.1016/j.infsof.2014.10.003"/>
    <hyperlink ref="L94" r:id="rId85" display="https://doi.org/10.3390/jcp3030017"/>
    <hyperlink ref="L95" r:id="rId86" display="https://doi.org/10.1007/978-3-319-76354-5_20"/>
    <hyperlink ref="L97" r:id="rId87" display="https://doi.org/10.6028/NIST.SP.800-82r3.ipd"/>
    <hyperlink ref="L98" r:id="rId88" display="https://doi.org/10.6028/NIST.SP.800-100"/>
    <hyperlink ref="L99" r:id="rId89" display="https://doi.org/10.1016/j.cose.2020.102030"/>
    <hyperlink ref="L101" r:id="rId90" display="https://doi.org/10.1007/s10796-022-10246-9"/>
    <hyperlink ref="L102" r:id="rId91" display="https://doi.org/10.3390/su151914574"/>
    <hyperlink ref="L115" r:id="rId92" display="https://doi.org/10.30880/ijie.2022.14.03.017"/>
    <hyperlink ref="L116" r:id="rId93" display="https://doi.org/10.5281/zenodo.19553772"/>
    <hyperlink ref="L117" r:id="rId94" display="https://doi.org/10.1080/07366980701394229"/>
    <hyperlink ref="L118" r:id="rId95" display="https://doi.org/10.1108/09685221011079180"/>
    <hyperlink ref="L119" r:id="rId96" display="https://doi.org/10.1108/09685221011079180"/>
    <hyperlink ref="L120" r:id="rId97" display="https://doi.org/10.1108/09685221011079180"/>
    <hyperlink ref="L121" r:id="rId98" display="https://doi.org/10.1016/j.cose.2025.104624"/>
    <hyperlink ref="L122" r:id="rId99" display="https://doi.org/10.1016/j.ijinfomgt.2019.09.002"/>
    <hyperlink ref="L123" r:id="rId100" display="https://doi.org/10.1016/j.ijmedinf.2021.104610"/>
    <hyperlink ref="L124" r:id="rId101" display="https://doi.org/10.1016/j.gfs.2012.10.006"/>
    <hyperlink ref="L125" r:id="rId102" display="https://doi.org/10.1016/j.gfs.2012.10.006"/>
    <hyperlink ref="L126" r:id="rId103" display="https://doi.org/10.1016/j.gfs.2017.06.003"/>
    <hyperlink ref="L127" r:id="rId104" display="https://doi.org/10.1016/j.gfs.2017.07.001"/>
    <hyperlink ref="L128" r:id="rId105" display="https://doi.org/10.1016/j.jjcc.2010.11.001"/>
    <hyperlink ref="L129" r:id="rId106" display="https://doi.org/10.1016/j.procs.2019.09.459"/>
    <hyperlink ref="L132" r:id="rId107" display="https://doi.org/10.1108/14637151211225225"/>
    <hyperlink ref="L133" r:id="rId108" display="https://doi.org/10.5121/ijcnc.2023.15205"/>
    <hyperlink ref="L134" r:id="rId109" display="https://doi.org/10.1145/1655168.1655170"/>
    <hyperlink ref="L135" r:id="rId110" display="https://doi.org/10.21511/ppm.17(1).2019.23"/>
    <hyperlink ref="L136" r:id="rId111" display="https://doi.org/10.1007/978-3-642-39218-4_19"/>
    <hyperlink ref="L140" r:id="rId112" display="https://doi.org/10.51594/csitrj.v6i11.2164"/>
    <hyperlink ref="L145" r:id="rId113" display="https://doi.org/10.1145/3418172"/>
    <hyperlink ref="L146" r:id="rId114" display="https://doi.org/10.1145/3774761.3774773"/>
    <hyperlink ref="L147" r:id="rId115" display="https://doi.org/10.22364/bjmc.2017.5.1.07"/>
    <hyperlink ref="L149" r:id="rId116" display="https://doi.org/10.20396/rdbci.v19i00.8665529"/>
    <hyperlink ref="L151" r:id="rId117" display="https://doi.org/10.5220/0006303102950301"/>
    <hyperlink ref="L153" r:id="rId118" display="https://doi.org/10.1016/j.cose.2004.10.006"/>
    <hyperlink ref="L154" r:id="rId119" display="https://doi.org/10.1016/j.rineng.2025.108557"/>
    <hyperlink ref="L164" r:id="rId120" display="https://doi.org/10.69849/revistaft/pa10202501192208"/>
    <hyperlink ref="L165" r:id="rId121" display="https://doi.org/10.1016/j.jisa.2020.102614"/>
    <hyperlink ref="L177" r:id="rId122" display="https://doi.org/10.1016/j.jisa.2020.102614"/>
    <hyperlink ref="L178" r:id="rId123" display="https://doi.org/10.1016/j.cose.2026.104957"/>
    <hyperlink ref="L181" r:id="rId124" display="https://doi.org/10.1142/S1363919622400126"/>
    <hyperlink ref="L182" r:id="rId125" display="https://doi.org/10.3390/bdcc10040129"/>
    <hyperlink ref="L183" r:id="rId126" display="https://doi.org/10.1037/0021-9010.88.5.879"/>
    <hyperlink ref="L184" r:id="rId127" display="https://doi.org/10.1108/ICS-08-2021-0112"/>
    <hyperlink ref="L196" r:id="rId128" display="https://doi.org/10.1016/j.im.2022.103751"/>
    <hyperlink ref="L197" r:id="rId129" display="https://doi.org/10.51594/csitrj.v6i11.2164"/>
    <hyperlink ref="L199" r:id="rId130" display="https://doi.org/10.1109/ISTAFRICA.2016.7530578"/>
    <hyperlink ref="L203" r:id="rId131" display="https://doi.org/10.2753/MIS0742-1222240302"/>
    <hyperlink ref="L205" r:id="rId132" display="https://doi.org/10.1111/j.1540-5915.2012.00361.x"/>
    <hyperlink ref="L209" r:id="rId133" display="https://doi.org/10.15672/HJMS.2018.641"/>
    <hyperlink ref="L210" r:id="rId134" display="https://doi.org/10.1016/j.ijcip.2025.100805"/>
    <hyperlink ref="L211" r:id="rId135" display="https://doi.org/10.3316/QRJ0902027"/>
    <hyperlink ref="L212" r:id="rId136" display="https://doi.org/10.1108/EBR-11-2018-0203"/>
    <hyperlink ref="L213" r:id="rId137" display="https://doi.org/10.5281/zenodo.7555947"/>
    <hyperlink ref="L221" r:id="rId138" display="https://doi.org/10.2478/v10143-009-0014-x"/>
    <hyperlink ref="L224" r:id="rId139" display="https://doi.org/10.1016/j.cose.2020.102030"/>
    <hyperlink ref="L225" r:id="rId140" display="https://doi.org/10.1145/1655168.1655170"/>
    <hyperlink ref="L226" r:id="rId141" display="https://doi.org/10.1016/j.cose.2016.02.007"/>
    <hyperlink ref="L227" r:id="rId142" display="https://doi.org/10.1109/ICCET.2009.218"/>
    <hyperlink ref="L228" r:id="rId143" display="https://doi.org/10.1109/ACOSIS.2016.7843921"/>
    <hyperlink ref="L229" r:id="rId144" display="https://doi.org/10.1016/j.cose.2019.101594"/>
    <hyperlink ref="L238" r:id="rId145" display="https://doi.org/10.21714/2236-417X2018v8n3p90"/>
    <hyperlink ref="L240" r:id="rId146" display="https://doi.org/10.1109/ICT4DA53266.2021.9672221"/>
    <hyperlink ref="L241" r:id="rId147" display="https://doi.org/10.4225/75/57b4040530dec"/>
    <hyperlink ref="L242" r:id="rId148" display="https://doi.org/10.1371/journal.pone.0163050"/>
    <hyperlink ref="L243" r:id="rId149" display="https://doi.org/10.1109/ISTAS.2015.7439415"/>
    <hyperlink ref="L244" r:id="rId150" display="https://doi.org/10.1109/ISTAS.2015.7439415"/>
    <hyperlink ref="L245" r:id="rId151" display="https://doi.org/10.1108/ICS-07-2016-0061"/>
    <hyperlink ref="L246" r:id="rId152" display="https://doi.org/10.6028/NIST.CSWP.29"/>
    <hyperlink ref="L247" r:id="rId153" display="https://doi.org/10.6028/NIST.AI.100-2e2025"/>
    <hyperlink ref="L248" r:id="rId154" display="https://doi.org/10.6028/NIST.IR.7298r3"/>
    <hyperlink ref="L250" r:id="rId155" display="https://doi.org/10.20396/rdbci.v22i00.8675749"/>
    <hyperlink ref="L251" r:id="rId156" display="https://doi.org/10.1016/j.cose.2024.103852"/>
    <hyperlink ref="L253" r:id="rId157" display="https://doi.org/10.1109/TrustCom/BigDataSE.2018.00276"/>
    <hyperlink ref="L255" r:id="rId158" display="https://doi.org/10.1016/j.cose.2022.102774"/>
    <hyperlink ref="L256" r:id="rId159" display="https://doi.org/10.1108/ICS-02-2014-0016"/>
    <hyperlink ref="L259" r:id="rId160" display="https://doi.org/10.1016/j.cose.2022.102903"/>
    <hyperlink ref="L270" r:id="rId161" display="https://doi.org/10.1080/10580530.2019.1651113"/>
    <hyperlink ref="L271" r:id="rId162" display="https://doi.org/10.1177/1555343415575152"/>
    <hyperlink ref="L272" r:id="rId163" display="https://doi.org/10.1007/s10799-015-0252-2"/>
    <hyperlink ref="L273" r:id="rId164" display="https://doi.org/10.65025/ICAIC25019n"/>
    <hyperlink ref="L276" r:id="rId165" display="https://doi.org/10.1016/j.cose.2023.103591"/>
    <hyperlink ref="L277" r:id="rId166" display="https://doi.org/10.17705/1PAIS.10403"/>
    <hyperlink ref="L278" r:id="rId167" display="https://doi.org/10.21203/rs.3.rs-7474776/v1"/>
    <hyperlink ref="L279" r:id="rId168" display="https://doi.org/10.1016/j.ijinfomgt.2018.07.013"/>
    <hyperlink ref="L280" r:id="rId169" display="https://doi.org/10.63680/ijsate1225001.003"/>
    <hyperlink ref="L283" r:id="rId170" display="https://doi.org/10.12732/ijam.v38i10s.1139"/>
    <hyperlink ref="L284" r:id="rId171" display="https://doi.org/10.63125/4qpdpf28"/>
    <hyperlink ref="L285" r:id="rId172" display="https://doi.org/10.1002/widm.70013"/>
    <hyperlink ref="L286" r:id="rId173" display="https://doi.org/10.1590/2318-0331.312620250160"/>
    <hyperlink ref="L287" r:id="rId174" display="https://doi.org/10.1590/2318-0331.312620250160"/>
    <hyperlink ref="L288" r:id="rId175" display="https://doi.org/10.1080/0960085X.2024.2345867"/>
    <hyperlink ref="L289" r:id="rId176" display="https://doi.org/10.1108/ICS-02-2019-0033"/>
    <hyperlink ref="L291" r:id="rId177" display="https://doi.org/10.4301/S1807-17752015000100005"/>
    <hyperlink ref="L292" r:id="rId178" display="https://doi.org/10.1177/21582440251399038"/>
    <hyperlink ref="L293" r:id="rId179" display="https://doi.org/10.1177/21582440251399038"/>
    <hyperlink ref="L294" r:id="rId180" display="https://doi.org/10.1109/ICSIoT47925.2019.00015"/>
    <hyperlink ref="L295" r:id="rId181" display="https://doi.org/10.1016/j.cose.2020.102030"/>
    <hyperlink ref="L296" r:id="rId182" display="https://doi.org/10.21776/ub.jam.2023.021.1.06"/>
    <hyperlink ref="L297" r:id="rId183" display="https://doi.org/10.1080/19393555.2021.1922786"/>
    <hyperlink ref="L298" r:id="rId184" display="https://doi.org/10.3390/app122111174"/>
    <hyperlink ref="L304" r:id="rId185" display="https://doi.org/10.1061/(ASCE)1076-0342(2008)14:3(169)"/>
    <hyperlink ref="L306" r:id="rId186" display="https://doi.org/10.1590/1982-7849rac2023230005.por"/>
    <hyperlink ref="L307" r:id="rId187" display="https://doi.org/10.3390/educsci14060588"/>
    <hyperlink ref="L308" r:id="rId188" display="https://doi.org/10.3390/educsci15020142"/>
    <hyperlink ref="L309" r:id="rId189" display="https://doi.org/10.3390/foods13142272"/>
    <hyperlink ref="L310" r:id="rId190" display="https://doi.org/10.3389/fsufs.2026.1726650"/>
    <hyperlink ref="L311" r:id="rId191" display="https://doi.org/10.3390/fi17090384"/>
    <hyperlink ref="L314" r:id="rId192" display="https://doi.org/10.1017/S0260210515000352"/>
    <hyperlink ref="L315" r:id="rId193" display="https://doi.org/10.4028/www.scientific.net/AMM.278-280.2199"/>
    <hyperlink ref="L316" r:id="rId194" display="https://doi.org/10.1108/ICS-02-2019-0033"/>
    <hyperlink ref="L317" r:id="rId195" display="https://doi.org/10.1108/ICS-08-2021-0112"/>
    <hyperlink ref="L318" r:id="rId196" display="https://doi.org/10.1108/IMDS-02-2025-0203"/>
    <hyperlink ref="L320" r:id="rId197" display="https://doi.org/10.1016/j.infsof.2014.10.003"/>
    <hyperlink ref="L321" r:id="rId198" display="https://doi.org/10.1016/j.infsof.2014.10.003"/>
    <hyperlink ref="L322" r:id="rId199" display="https://doi.org/10.3390/jcp3030017"/>
    <hyperlink ref="L323" r:id="rId200" display="https://doi.org/10.3390/jcp6020067"/>
    <hyperlink ref="L324" r:id="rId201" display="https://doi.org/10.3390/su12062481"/>
    <hyperlink ref="L325" r:id="rId202" display="https://doi.org/10.3390/su12062481"/>
    <hyperlink ref="L326" r:id="rId203" display="https://doi.org/10.1186/s13023-017-0603-7"/>
    <hyperlink ref="L327" r:id="rId204" display="https://doi.org/10.1007/978-3-319-76354-5_20"/>
    <hyperlink ref="L328" r:id="rId205" display="https://doi.org/10.3390/math14091425"/>
    <hyperlink ref="L329" r:id="rId206" display="https://doi.org/10.3390/math14091425"/>
    <hyperlink ref="L330" r:id="rId207" display="https://doi.org/10.1080/09662839.2013.856308"/>
    <hyperlink ref="L331" r:id="rId208" display="https://doi.org/10.2753/MTP1069-6679190202"/>
    <hyperlink ref="L332" r:id="rId209" display="https://doi.org/10.1080/19393555.2021.1922786"/>
    <hyperlink ref="L333" r:id="rId210" display="https://doi.org/10.1109/ICIM49319.2020.244699"/>
    <hyperlink ref="L334" r:id="rId211" display="https://doi.org/10.1016/j.cose.2020.102030"/>
    <hyperlink ref="L337" r:id="rId212" display="https://doi.org/10.17705/1CAIS.02927"/>
    <hyperlink ref="L341" r:id="rId213" display="https://doi.org/10.1007/s00267-022-01606-x"/>
    <hyperlink ref="L342" r:id="rId214" display="https://doi.org/10.1007/s10207-025-01097-x"/>
    <hyperlink ref="L343" r:id="rId215" display="https://doi.org/10.1007/s10668-024-04472-1"/>
    <hyperlink ref="L344" r:id="rId216" display="https://doi.org/10.1007/s10668-024-04472-1"/>
    <hyperlink ref="L345" r:id="rId217" display="https://doi.org/10.1007/s10796-022-10246-9"/>
    <hyperlink ref="L346" r:id="rId218" display="https://doi.org/10.1007/s11747-014-0403-8"/>
    <hyperlink ref="L348" r:id="rId219" display="https://doi.org/10.6008/CBPC2674-6417.2021.001.0001"/>
    <hyperlink ref="L350" r:id="rId220" display="https://doi.org/10.1007/s10639-022-11088-3"/>
    <hyperlink ref="L351" r:id="rId221" display="https://doi.org/10.3390/s25237384"/>
    <hyperlink ref="L352" r:id="rId222" display="https://doi.org/10.1108/JEIM-08-2019-0217"/>
    <hyperlink ref="L353" r:id="rId223" display="https://doi.org/10.3390/su151914574"/>
    <hyperlink ref="L354" r:id="rId224" display="https://doi.org/10.3390/systems13010052"/>
    <hyperlink ref="L355" r:id="rId225" display="https://doi.org/10.3141/2635-10"/>
    <hyperlink ref="L356" r:id="rId226" display="https://doi.org/10.1038/s43016-022-00571-2"/>
    <hyperlink ref="L357" r:id="rId227" display="https://doi.org/10.1016/j.cose.2021.102354"/>
    <hyperlink ref="L358" r:id="rId228" display="https://doi.org/10.1093/cybsec/tyaf011"/>
    <hyperlink ref="L359" r:id="rId229" display="https://doi.org/10.1108/ICS-08-2019-0095"/>
    <hyperlink ref="L360" r:id="rId230" display="https://doi.org/10.3390/jcp1010007"/>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231"/>
  </tableParts>
</worksheet>
</file>

<file path=docProps/app.xml><?xml version="1.0" encoding="utf-8"?>
<Properties xmlns="http://schemas.openxmlformats.org/officeDocument/2006/extended-properties" xmlns:vt="http://schemas.openxmlformats.org/officeDocument/2006/docPropsVTypes">
  <Template/>
  <TotalTime>0</TotalTime>
  <Application>LibreOffice/26.2.5.2$Linux_X86_64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2026-10-13T21:47:53Z</dcterms:created>
  <dc:creator>openpyxl</dc:creator>
  <dc:description/>
  <dc:language>en-US</dc:language>
  <cp:lastModifiedBy/>
  <dcterms:modified xsi:type="dcterms:W3CDTF">2026-10-13T21:47:53Z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